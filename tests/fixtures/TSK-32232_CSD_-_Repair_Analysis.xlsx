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TNO_Project\Implementation\Cementaid\Customization\task\Reports\"/>
    </mc:Choice>
  </mc:AlternateContent>
  <xr:revisionPtr revIDLastSave="0" documentId="13_ncr:1_{46F9B96F-5B11-45B9-894C-04253C48E9C5}" xr6:coauthVersionLast="47" xr6:coauthVersionMax="47" xr10:uidLastSave="{00000000-0000-0000-0000-000000000000}"/>
  <bookViews>
    <workbookView xWindow="-120" yWindow="-120" windowWidth="24240" windowHeight="13020" tabRatio="841" xr2:uid="{F7AFECE3-D4A0-4355-9986-DA3E2AE2E08F}"/>
  </bookViews>
  <sheets>
    <sheet name="Prelim &amp; Logic" sheetId="39" r:id="rId1"/>
    <sheet name="Repair Analysis Report" sheetId="15" r:id="rId2"/>
    <sheet name="Defects Classification Analysis" sheetId="31" r:id="rId3"/>
    <sheet name="Packer Usage Analysis" sheetId="38" r:id="rId4"/>
  </sheets>
  <definedNames>
    <definedName name="_xlnm._FilterDatabase" localSheetId="1" hidden="1">'Repair Analysis Report'!$A$7:$CR$23</definedName>
    <definedName name="Z_00619EF7_C515_429F_AB3D_5DC348832EDA_.wvu.Cols" localSheetId="1" hidden="1">'Repair Analysis Report'!$E:$J,'Repair Analysis Report'!$L:$AB,'Repair Analysis Report'!$AE:$CI</definedName>
    <definedName name="Z_00619EF7_C515_429F_AB3D_5DC348832EDA_.wvu.FilterData" localSheetId="1" hidden="1">'Repair Analysis Report'!$A$7:$CR$27</definedName>
    <definedName name="Z_026E5010_F5BA_4F98_B34C_EB528F227AC7_.wvu.Cols" localSheetId="1" hidden="1">'Repair Analysis Report'!$E:$J,'Repair Analysis Report'!$L:$AB,'Repair Analysis Report'!$AE:$CI</definedName>
    <definedName name="Z_026E5010_F5BA_4F98_B34C_EB528F227AC7_.wvu.FilterData" localSheetId="1" hidden="1">'Repair Analysis Report'!$A$7:$CR$27</definedName>
    <definedName name="Z_03C3983D_0727_4E6A_BC5D_01E139585FE6_.wvu.Cols" localSheetId="1" hidden="1">'Repair Analysis Report'!$E:$V,'Repair Analysis Report'!$AE:$BK</definedName>
    <definedName name="Z_03C3983D_0727_4E6A_BC5D_01E139585FE6_.wvu.FilterData" localSheetId="1" hidden="1">'Repair Analysis Report'!$A$7:$CR$27</definedName>
    <definedName name="Z_0CC99FEF_F286_4F44_806A_510E25937FC7_.wvu.Cols" localSheetId="1" hidden="1">'Repair Analysis Report'!$D:$X,'Repair Analysis Report'!$Z:$Z,'Repair Analysis Report'!$AE:$BS,'Repair Analysis Report'!$CO:$CW</definedName>
    <definedName name="Z_0CC99FEF_F286_4F44_806A_510E25937FC7_.wvu.FilterData" localSheetId="1" hidden="1">'Repair Analysis Report'!$A$7:$CR$27</definedName>
    <definedName name="Z_168C3DC8_33EA_4ABF_BF57_E0694FDBF89D_.wvu.Cols" localSheetId="1" hidden="1">'Repair Analysis Report'!$E:$J,'Repair Analysis Report'!$L:$L,'Repair Analysis Report'!$N:$T,'Repair Analysis Report'!$V:$W,'Repair Analysis Report'!$AE:$BC</definedName>
    <definedName name="Z_168C3DC8_33EA_4ABF_BF57_E0694FDBF89D_.wvu.FilterData" localSheetId="1" hidden="1">'Repair Analysis Report'!$A$7:$CR$23</definedName>
    <definedName name="Z_168C3DC8_33EA_4ABF_BF57_E0694FDBF89D_.wvu.Rows" localSheetId="1" hidden="1">'Repair Analysis Report'!$25:$27</definedName>
    <definedName name="Z_19CD7DDC_F1EF_4FD6_99F9_814D645F6529_.wvu.Cols" localSheetId="1" hidden="1">'Repair Analysis Report'!$D:$Q,'Repair Analysis Report'!$S:$T,'Repair Analysis Report'!$AE:$AQ</definedName>
    <definedName name="Z_19CD7DDC_F1EF_4FD6_99F9_814D645F6529_.wvu.FilterData" localSheetId="1" hidden="1">'Repair Analysis Report'!$A$7:$CR$23</definedName>
    <definedName name="Z_21DB1A4B_D333_4155_AB5A_9BC5572CF5DF_.wvu.Cols" localSheetId="1" hidden="1">'Repair Analysis Report'!$D:$R,'Repair Analysis Report'!$T:$T,'Repair Analysis Report'!$AE:$AU</definedName>
    <definedName name="Z_21DB1A4B_D333_4155_AB5A_9BC5572CF5DF_.wvu.FilterData" localSheetId="1" hidden="1">'Repair Analysis Report'!$A$7:$CR$23</definedName>
    <definedName name="Z_33CCA4DB_7E6D_40A2_9FB7_F754C24501AF_.wvu.Cols" localSheetId="1" hidden="1">'Repair Analysis Report'!$E:$U,'Repair Analysis Report'!$W:$W,'Repair Analysis Report'!$AE:$BG</definedName>
    <definedName name="Z_33CCA4DB_7E6D_40A2_9FB7_F754C24501AF_.wvu.FilterData" localSheetId="1" hidden="1">'Repair Analysis Report'!$A$7:$CR$23</definedName>
    <definedName name="Z_33CCA4DB_7E6D_40A2_9FB7_F754C24501AF_.wvu.Rows" localSheetId="1" hidden="1">'Repair Analysis Report'!$25:$27</definedName>
    <definedName name="Z_3700F944_6C76_45D8_B8B7_C6BD0C9FF627_.wvu.Cols" localSheetId="1" hidden="1">'Repair Analysis Report'!$E:$U,'Repair Analysis Report'!$W:$W,'Repair Analysis Report'!$AE:$BG</definedName>
    <definedName name="Z_3700F944_6C76_45D8_B8B7_C6BD0C9FF627_.wvu.FilterData" localSheetId="1" hidden="1">'Repair Analysis Report'!$A$7:$CR$23</definedName>
    <definedName name="Z_3700F944_6C76_45D8_B8B7_C6BD0C9FF627_.wvu.Rows" localSheetId="1" hidden="1">'Repair Analysis Report'!$25:$27</definedName>
    <definedName name="Z_42312AD8_D830_4E9B_A2C0_10B802282691_.wvu.Cols" localSheetId="1" hidden="1">'Repair Analysis Report'!$D:$J,'Repair Analysis Report'!$L:$AA,'Repair Analysis Report'!$AC:$AC,'Repair Analysis Report'!$AE:$CE</definedName>
    <definedName name="Z_42312AD8_D830_4E9B_A2C0_10B802282691_.wvu.FilterData" localSheetId="1" hidden="1">'Repair Analysis Report'!$A$7:$CR$27</definedName>
    <definedName name="Z_4DB73DCD_46D8_4B02_9B2D_2F6EFB90B188_.wvu.Cols" localSheetId="1" hidden="1">'Repair Analysis Report'!$E:$J,'Repair Analysis Report'!$L:$L,'Repair Analysis Report'!$N:$T,'Repair Analysis Report'!$V:$W,'Repair Analysis Report'!$AE:$BC</definedName>
    <definedName name="Z_4DB73DCD_46D8_4B02_9B2D_2F6EFB90B188_.wvu.FilterData" localSheetId="1" hidden="1">'Repair Analysis Report'!$A$7:$CR$23</definedName>
    <definedName name="Z_4DB73DCD_46D8_4B02_9B2D_2F6EFB90B188_.wvu.Rows" localSheetId="1" hidden="1">'Repair Analysis Report'!$25:$27</definedName>
    <definedName name="Z_4DF3C604_4BB6_48E8_9666_B0473E169111_.wvu.Cols" localSheetId="1" hidden="1">'Repair Analysis Report'!$D:$Z,'Repair Analysis Report'!$AB:$AC,'Repair Analysis Report'!$AD:$CA</definedName>
    <definedName name="Z_4DF3C604_4BB6_48E8_9666_B0473E169111_.wvu.FilterData" localSheetId="1" hidden="1">'Repair Analysis Report'!$A$7:$CR$27</definedName>
    <definedName name="Z_58B9F895_ACC5_4E88_A55B_4085AE08B31B_.wvu.Cols" localSheetId="1" hidden="1">'Repair Analysis Report'!$D:$P,'Repair Analysis Report'!$AE:$AM</definedName>
    <definedName name="Z_58B9F895_ACC5_4E88_A55B_4085AE08B31B_.wvu.FilterData" localSheetId="1" hidden="1">'Repair Analysis Report'!$A$7:$CR$23</definedName>
    <definedName name="Z_5A29B769_F6C0_4A5A_BE26_EA346E1F7A1A_.wvu.Cols" localSheetId="1" hidden="1">'Repair Analysis Report'!$E:$J,'Repair Analysis Report'!$L:$L,'Repair Analysis Report'!$N:$T,'Repair Analysis Report'!$V:$W,'Repair Analysis Report'!$AE:$BC</definedName>
    <definedName name="Z_5A29B769_F6C0_4A5A_BE26_EA346E1F7A1A_.wvu.FilterData" localSheetId="1" hidden="1">'Repair Analysis Report'!$A$7:$CR$23</definedName>
    <definedName name="Z_5A29B769_F6C0_4A5A_BE26_EA346E1F7A1A_.wvu.Rows" localSheetId="1" hidden="1">'Repair Analysis Report'!$25:$27</definedName>
    <definedName name="Z_5BAC5B51_8110_4865_BACE_7450C4EB6816_.wvu.Cols" localSheetId="1" hidden="1">'Repair Analysis Report'!$E:$U,'Repair Analysis Report'!$W:$W,'Repair Analysis Report'!$AE:$BG</definedName>
    <definedName name="Z_5BAC5B51_8110_4865_BACE_7450C4EB6816_.wvu.FilterData" localSheetId="1" hidden="1">'Repair Analysis Report'!$A$7:$CR$23</definedName>
    <definedName name="Z_5BAC5B51_8110_4865_BACE_7450C4EB6816_.wvu.Rows" localSheetId="1" hidden="1">'Repair Analysis Report'!$25:$27</definedName>
    <definedName name="Z_64FD67D6_D868_479E_90CE_70272FB960D9_.wvu.Cols" localSheetId="1" hidden="1">'Repair Analysis Report'!$E:$J,'Repair Analysis Report'!$L:$AB,'Repair Analysis Report'!$AE:$CI</definedName>
    <definedName name="Z_64FD67D6_D868_479E_90CE_70272FB960D9_.wvu.FilterData" localSheetId="1" hidden="1">'Repair Analysis Report'!$A$7:$CR$27</definedName>
    <definedName name="Z_679661BB_2F00_4133_9B3E_75FC7FF3A6D5_.wvu.Cols" localSheetId="1" hidden="1">'Repair Analysis Report'!$D:$Q,'Repair Analysis Report'!$S:$T,'Repair Analysis Report'!$AE:$AQ</definedName>
    <definedName name="Z_679661BB_2F00_4133_9B3E_75FC7FF3A6D5_.wvu.FilterData" localSheetId="1" hidden="1">'Repair Analysis Report'!$A$7:$CR$23</definedName>
    <definedName name="Z_74A84572_5AA8_456C_AFB1_EC122EE6654F_.wvu.Cols" localSheetId="1" hidden="1">'Repair Analysis Report'!$D:$Y,'Repair Analysis Report'!$AE:$BW,'Repair Analysis Report'!$CO:$CW</definedName>
    <definedName name="Z_74A84572_5AA8_456C_AFB1_EC122EE6654F_.wvu.FilterData" localSheetId="1" hidden="1">'Repair Analysis Report'!$A$7:$CR$27</definedName>
    <definedName name="Z_7A9CC306_38C7_48CD_8B78_93CD2EC556BF_.wvu.Cols" localSheetId="1" hidden="1">'Repair Analysis Report'!$D:$Z,'Repair Analysis Report'!$AB:$AC,'Repair Analysis Report'!$AD:$CA</definedName>
    <definedName name="Z_7A9CC306_38C7_48CD_8B78_93CD2EC556BF_.wvu.FilterData" localSheetId="1" hidden="1">'Repair Analysis Report'!$A$7:$CR$27</definedName>
    <definedName name="Z_8083EE3B_9D7C_4D56_B77A_A960804520EE_.wvu.Cols" localSheetId="1" hidden="1">'Repair Analysis Report'!$D:$Y,'Repair Analysis Report'!$AE:$BW,'Repair Analysis Report'!$CO:$CW</definedName>
    <definedName name="Z_8083EE3B_9D7C_4D56_B77A_A960804520EE_.wvu.FilterData" localSheetId="1" hidden="1">'Repair Analysis Report'!$A$7:$CR$27</definedName>
    <definedName name="Z_8108BC44_82A1_4E56_9E62_271977972115_.wvu.Cols" localSheetId="1" hidden="1">'Repair Analysis Report'!$D:$R,'Repair Analysis Report'!$T:$T,'Repair Analysis Report'!$AE:$AU</definedName>
    <definedName name="Z_8108BC44_82A1_4E56_9E62_271977972115_.wvu.FilterData" localSheetId="1" hidden="1">'Repair Analysis Report'!$A$7:$CR$23</definedName>
    <definedName name="Z_89F57732_B161_4DB9_80F0_52C11809EAEF_.wvu.Cols" localSheetId="1" hidden="1">'Repair Analysis Report'!$D:$S,'Repair Analysis Report'!$AE:$AY</definedName>
    <definedName name="Z_89F57732_B161_4DB9_80F0_52C11809EAEF_.wvu.FilterData" localSheetId="1" hidden="1">'Repair Analysis Report'!$A$7:$CR$23</definedName>
    <definedName name="Z_8AA99AFC_1349_4A3C_8081_CB4E69606337_.wvu.Cols" localSheetId="1" hidden="1">'Repair Analysis Report'!$D:$Y,'Repair Analysis Report'!$AE:$BW,'Repair Analysis Report'!$CO:$CW</definedName>
    <definedName name="Z_8AA99AFC_1349_4A3C_8081_CB4E69606337_.wvu.FilterData" localSheetId="1" hidden="1">'Repair Analysis Report'!$A$7:$CR$27</definedName>
    <definedName name="Z_923D7FF5_5E4F_4C91_97D7_62A4CD48413C_.wvu.Cols" localSheetId="1" hidden="1">'Repair Analysis Report'!$E:$W,'Repair Analysis Report'!$Y:$Z,'Repair Analysis Report'!$AE:$BO,'Repair Analysis Report'!$CO:$CW</definedName>
    <definedName name="Z_923D7FF5_5E4F_4C91_97D7_62A4CD48413C_.wvu.FilterData" localSheetId="1" hidden="1">'Repair Analysis Report'!$A$7:$CR$27</definedName>
    <definedName name="Z_9B154695_ADDF_4215_9F26_0FEFB78065DF_.wvu.Cols" localSheetId="1" hidden="1">'Repair Analysis Report'!$D:$P,'Repair Analysis Report'!$AE:$AM</definedName>
    <definedName name="Z_9B154695_ADDF_4215_9F26_0FEFB78065DF_.wvu.FilterData" localSheetId="1" hidden="1">'Repair Analysis Report'!$A$7:$CR$23</definedName>
    <definedName name="Z_9B45B383_4A11_4C7D_915F_F34A3F26EDA9_.wvu.Cols" localSheetId="1" hidden="1">'Repair Analysis Report'!$D:$J,'Repair Analysis Report'!$L:$AA,'Repair Analysis Report'!$AC:$AC,'Repair Analysis Report'!$AE:$CE</definedName>
    <definedName name="Z_9B45B383_4A11_4C7D_915F_F34A3F26EDA9_.wvu.FilterData" localSheetId="1" hidden="1">'Repair Analysis Report'!$A$7:$CR$27</definedName>
    <definedName name="Z_AB8B12FE_939F_4B6A_AE4A_A20F448211BF_.wvu.Cols" localSheetId="1" hidden="1">'Repair Analysis Report'!$D:$Z,'Repair Analysis Report'!$AB:$AC,'Repair Analysis Report'!$AD:$CA</definedName>
    <definedName name="Z_AB8B12FE_939F_4B6A_AE4A_A20F448211BF_.wvu.FilterData" localSheetId="1" hidden="1">'Repair Analysis Report'!$A$7:$CR$27</definedName>
    <definedName name="Z_ABC5E241_99E1_480D_8F7F_79A320B7EE5F_.wvu.Cols" localSheetId="1" hidden="1">'Repair Analysis Report'!$E:$V,'Repair Analysis Report'!$AE:$BK</definedName>
    <definedName name="Z_ABC5E241_99E1_480D_8F7F_79A320B7EE5F_.wvu.FilterData" localSheetId="1" hidden="1">'Repair Analysis Report'!$A$7:$CR$27</definedName>
    <definedName name="Z_AC8F372D_ADA3_4FFA_BD46_B21B64A85128_.wvu.Cols" localSheetId="1" hidden="1">'Repair Analysis Report'!$E:$V,'Repair Analysis Report'!$AE:$BK</definedName>
    <definedName name="Z_AC8F372D_ADA3_4FFA_BD46_B21B64A85128_.wvu.FilterData" localSheetId="1" hidden="1">'Repair Analysis Report'!$A$7:$CR$27</definedName>
    <definedName name="Z_B033AA07_7600_4EBC_9390_00AF71C0C5C7_.wvu.Cols" localSheetId="1" hidden="1">'Repair Analysis Report'!$D:$S,'Repair Analysis Report'!$AE:$AY</definedName>
    <definedName name="Z_B033AA07_7600_4EBC_9390_00AF71C0C5C7_.wvu.FilterData" localSheetId="1" hidden="1">'Repair Analysis Report'!$A$7:$CR$23</definedName>
    <definedName name="Z_B62B9B7D_6C30_458E_B069_A0BD875BB6FA_.wvu.Cols" localSheetId="1" hidden="1">'Repair Analysis Report'!$D:$R,'Repair Analysis Report'!$T:$T,'Repair Analysis Report'!$AE:$AU</definedName>
    <definedName name="Z_B62B9B7D_6C30_458E_B069_A0BD875BB6FA_.wvu.FilterData" localSheetId="1" hidden="1">'Repair Analysis Report'!$A$7:$CR$23</definedName>
    <definedName name="Z_BB2D0014_8EA3_4DB5_98B4_090AA1B65C8B_.wvu.Cols" localSheetId="1" hidden="1">'Repair Analysis Report'!$D:$Q,'Repair Analysis Report'!$S:$T,'Repair Analysis Report'!$AE:$AQ</definedName>
    <definedName name="Z_BB2D0014_8EA3_4DB5_98B4_090AA1B65C8B_.wvu.FilterData" localSheetId="1" hidden="1">'Repair Analysis Report'!$A$7:$CR$23</definedName>
    <definedName name="Z_C17405CA_25CB_4A19_898F_2B194E860742_.wvu.Cols" localSheetId="1" hidden="1">'Repair Analysis Report'!$D:$P,'Repair Analysis Report'!$AE:$AM</definedName>
    <definedName name="Z_C17405CA_25CB_4A19_898F_2B194E860742_.wvu.FilterData" localSheetId="1" hidden="1">'Repair Analysis Report'!$A$7:$CR$23</definedName>
    <definedName name="Z_C1D6F20C_00F0_4542_9335_3FE773FF0899_.wvu.FilterData" localSheetId="1" hidden="1">'Repair Analysis Report'!$A$7:$CR$23</definedName>
    <definedName name="Z_D8461660_A8A1_4029_B386_AF511DF54195_.wvu.Cols" localSheetId="1" hidden="1">'Repair Analysis Report'!$D:$X,'Repair Analysis Report'!$Z:$Z,'Repair Analysis Report'!$AE:$BS,'Repair Analysis Report'!$CO:$CW</definedName>
    <definedName name="Z_D8461660_A8A1_4029_B386_AF511DF54195_.wvu.FilterData" localSheetId="1" hidden="1">'Repair Analysis Report'!$A$7:$CR$27</definedName>
    <definedName name="Z_D99B2D7E_6003_4F9B_A49C_10B86F0B11D7_.wvu.Cols" localSheetId="1" hidden="1">'Repair Analysis Report'!$E:$W,'Repair Analysis Report'!$Y:$Z,'Repair Analysis Report'!$AE:$BO,'Repair Analysis Report'!$CO:$CW</definedName>
    <definedName name="Z_D99B2D7E_6003_4F9B_A49C_10B86F0B11D7_.wvu.FilterData" localSheetId="1" hidden="1">'Repair Analysis Report'!$A$7:$CR$27</definedName>
    <definedName name="Z_E055FEAB_A6BC_4F63_8CB2_3FBA272441AC_.wvu.Cols" localSheetId="1" hidden="1">'Repair Analysis Report'!$E:$W,'Repair Analysis Report'!$Y:$Z,'Repair Analysis Report'!$AE:$BO,'Repair Analysis Report'!$CO:$CW</definedName>
    <definedName name="Z_E055FEAB_A6BC_4F63_8CB2_3FBA272441AC_.wvu.FilterData" localSheetId="1" hidden="1">'Repair Analysis Report'!$A$7:$CR$27</definedName>
    <definedName name="Z_E6241EC7_9283_496B_A8EF_76698C197BC4_.wvu.Cols" localSheetId="1" hidden="1">'Repair Analysis Report'!$D:$X,'Repair Analysis Report'!$Z:$Z,'Repair Analysis Report'!$AE:$BS,'Repair Analysis Report'!$CO:$CW</definedName>
    <definedName name="Z_E6241EC7_9283_496B_A8EF_76698C197BC4_.wvu.FilterData" localSheetId="1" hidden="1">'Repair Analysis Report'!$A$7:$CR$27</definedName>
    <definedName name="Z_F285276A_A53D_4EC6_A0F2_E3AEE40DC067_.wvu.Cols" localSheetId="1" hidden="1">'Repair Analysis Report'!$D:$S,'Repair Analysis Report'!$AE:$AY</definedName>
    <definedName name="Z_F285276A_A53D_4EC6_A0F2_E3AEE40DC067_.wvu.FilterData" localSheetId="1" hidden="1">'Repair Analysis Report'!$A$7:$CR$23</definedName>
    <definedName name="Z_FDAC35F8_EF57_429C_9E04_D227826D1E27_.wvu.Cols" localSheetId="1" hidden="1">'Repair Analysis Report'!$D:$AA,'Repair Analysis Report'!$AC:$AC,'Repair Analysis Report'!$AE:$CE</definedName>
    <definedName name="Z_FDAC35F8_EF57_429C_9E04_D227826D1E27_.wvu.FilterData" localSheetId="1" hidden="1">'Repair Analysis Report'!$A$7:$CR$27</definedName>
  </definedNames>
  <calcPr calcId="181029"/>
  <customWorkbookViews>
    <customWorkbookView name="December 2025 East &amp; T5" guid="{00619EF7-C515-429F-AB3D-5DC348832EDA}" maximized="1" xWindow="-11" yWindow="-11" windowWidth="1942" windowHeight="1150" tabRatio="841" activeSheetId="15"/>
    <customWorkbookView name="December 2025 North &amp; Central 1" guid="{64FD67D6-D868-479E-90CE-70272FB960D9}" maximized="1" xWindow="-11" yWindow="-11" windowWidth="1942" windowHeight="1150" tabRatio="841" activeSheetId="15"/>
    <customWorkbookView name="December 2025 West &amp; Central 2" guid="{026E5010-F5BA-4F98-B34C-EB528F227AC7}" maximized="1" xWindow="-11" yWindow="-11" windowWidth="1942" windowHeight="1150" tabRatio="841" activeSheetId="15"/>
    <customWorkbookView name="October 2025 North &amp; Central 1" guid="{7A9CC306-38C7-48CD-8B78-93CD2EC556BF}" maximized="1" xWindow="-11" yWindow="-11" windowWidth="1942" windowHeight="1150" tabRatio="841" activeSheetId="15"/>
    <customWorkbookView name="October 2025 West &amp; Central 2" guid="{AB8B12FE-939F-4B6A-AE4A-A20F448211BF}" maximized="1" xWindow="-11" yWindow="-11" windowWidth="1942" windowHeight="1150" tabRatio="841" activeSheetId="15"/>
    <customWorkbookView name="October 2025 East &amp; T5" guid="{4DF3C604-4BB6-48E8-9666-B0473E169111}" maximized="1" xWindow="-11" yWindow="-11" windowWidth="1942" windowHeight="1150" tabRatio="841" activeSheetId="15"/>
    <customWorkbookView name="September 2025 East &amp; T5" guid="{8083EE3B-9D7C-4D56-B77A-A960804520EE}" maximized="1" xWindow="-11" yWindow="-11" windowWidth="1942" windowHeight="1150" tabRatio="841" activeSheetId="15"/>
    <customWorkbookView name="September 2025 West &amp; Central 2" guid="{8AA99AFC-1349-4A3C-8081-CB4E69606337}" maximized="1" xWindow="-11" yWindow="-11" windowWidth="1942" windowHeight="1150" tabRatio="841" activeSheetId="15"/>
    <customWorkbookView name="September 2025 North &amp; Central 1" guid="{74A84572-5AA8-456C-AFB1-EC122EE6654F}" maximized="1" xWindow="-11" yWindow="-11" windowWidth="1942" windowHeight="1150" tabRatio="841" activeSheetId="15"/>
    <customWorkbookView name="August 2025 West &amp; Central 2" guid="{E6241EC7-9283-496B-A8EF-76698C197BC4}" maximized="1" xWindow="-11" yWindow="-11" windowWidth="1942" windowHeight="1150" tabRatio="841" activeSheetId="15"/>
    <customWorkbookView name="May 2025 East &amp; T5" guid="{5BAC5B51-8110-4865-BACE-7450C4EB6816}" maximized="1" xWindow="-1931" yWindow="-119" windowWidth="1942" windowHeight="1054" tabRatio="909" activeSheetId="15"/>
    <customWorkbookView name="May 2025 West &amp; Central Area 2" guid="{33CCA4DB-7E6D-40A2-9FB7-F754C24501AF}" maximized="1" xWindow="-11" yWindow="-11" windowWidth="1942" windowHeight="1150" tabRatio="841" activeSheetId="15"/>
    <customWorkbookView name="April 2025 West &amp; Central Area 2" guid="{168C3DC8-33EA-4ABF-BF57-E0694FDBF89D}" maximized="1" xWindow="-1928" yWindow="-116" windowWidth="1936" windowHeight="1048" tabRatio="841" activeSheetId="15"/>
    <customWorkbookView name="West &amp; Central 2 March 2025" guid="{F285276A-A53D-4EC6-A0F2-E3AEE40DC067}" maximized="1" xWindow="-11" yWindow="-11" windowWidth="1942" windowHeight="1150" tabRatio="841" activeSheetId="15"/>
    <customWorkbookView name="North &amp; Central 1 March 2025" guid="{B033AA07-7600-4EBC-9390-00AF71C0C5C7}" maximized="1" xWindow="-11" yWindow="-11" windowWidth="1942" windowHeight="1150" tabRatio="841" activeSheetId="15"/>
    <customWorkbookView name="Koh Jan 2025" guid="{679661BB-2F00-4133-9B3E-75FC7FF3A6D5}" maximized="1" xWindow="-11" yWindow="-11" windowWidth="1942" windowHeight="1150" tabRatio="909" activeSheetId="15"/>
    <customWorkbookView name="Raj Jan 2025" guid="{19CD7DDC-F1EF-4FD6-99F9-814D645F6529}" maximized="1" xWindow="-11" yWindow="-11" windowWidth="1942" windowHeight="1150" tabRatio="909" activeSheetId="15"/>
    <customWorkbookView name="Deva Jan 2025" guid="{BB2D0014-8EA3-4DB5-98B4-090AA1B65C8B}" maximized="1" xWindow="-11" yWindow="-11" windowWidth="1942" windowHeight="1150" tabRatio="909" activeSheetId="15"/>
    <customWorkbookView name="Main Page" guid="{C1D6F20C-00F0-4542-9335-3FE773FF0899}" maximized="1" xWindow="-11" yWindow="-11" windowWidth="1942" windowHeight="1150" tabRatio="909" activeSheetId="15"/>
    <customWorkbookView name="Central Koh Dec 2024" guid="{C17405CA-25CB-4A19-898F-2B194E860742}" maximized="1" xWindow="-11" yWindow="-11" windowWidth="1942" windowHeight="1150" tabRatio="909" activeSheetId="15"/>
    <customWorkbookView name="North Raj Dec 2024" guid="{9B154695-ADDF-4215-9F26-0FEFB78065DF}" maximized="1" xWindow="-11" yWindow="-11" windowWidth="1942" windowHeight="1150" tabRatio="909" activeSheetId="15"/>
    <customWorkbookView name="West Deva Dec 2024" guid="{58B9F895-ACC5-4E88-A55B-4085AE08B31B}" maximized="1" xWindow="-11" yWindow="-11" windowWidth="1942" windowHeight="1150" tabRatio="909" activeSheetId="15"/>
    <customWorkbookView name="North Raj Feb 2025" guid="{8108BC44-82A1-4E56-9E62-271977972115}" maximized="1" xWindow="-11" yWindow="-11" windowWidth="1942" windowHeight="1150" tabRatio="591" activeSheetId="15"/>
    <customWorkbookView name="East Feb 2025" guid="{B62B9B7D-6C30-458E-B069-A0BD875BB6FA}" maximized="1" xWindow="-11" yWindow="-11" windowWidth="1942" windowHeight="1150" tabRatio="841" activeSheetId="15"/>
    <customWorkbookView name="West Feb 2025" guid="{21DB1A4B-D333-4155-AB5A-9BC5572CF5DF}" maximized="1" xWindow="-11" yWindow="-11" windowWidth="1942" windowHeight="1150" tabRatio="841" activeSheetId="15"/>
    <customWorkbookView name="East &amp; T5 March 2025" guid="{89F57732-B161-4DB9-80F0-52C11809EAEF}" maximized="1" xWindow="-11" yWindow="-11" windowWidth="1942" windowHeight="1150" tabRatio="841" activeSheetId="15"/>
    <customWorkbookView name="April 2025 North &amp; Central Area 1" guid="{4DB73DCD-46D8-4B02-9B2D-2F6EFB90B188}" maximized="1" xWindow="-1928" yWindow="-116" windowWidth="1936" windowHeight="1048" tabRatio="841" activeSheetId="15"/>
    <customWorkbookView name="April 2025 East &amp; T5" guid="{5A29B769-F6C0-4A5A-BE26-EA346E1F7A1A}" maximized="1" xWindow="-1928" yWindow="-116" windowWidth="1936" windowHeight="1048" tabRatio="841" activeSheetId="15"/>
    <customWorkbookView name="May 2025 North &amp; Central 2" guid="{3700F944-6C76-45D8-B8B7-C6BD0C9FF627}" maximized="1" xWindow="-1928" yWindow="-116" windowWidth="1936" windowHeight="1048" tabRatio="909" activeSheetId="15"/>
    <customWorkbookView name="June 2025 West &amp; Central Area 2" guid="{AC8F372D-ADA3-4FFA-BD46-B21B64A85128}" maximized="1" xWindow="-11" yWindow="-11" windowWidth="1942" windowHeight="1150" tabRatio="909" activeSheetId="15"/>
    <customWorkbookView name="June 2025 North &amp; Central 1" guid="{ABC5E241-99E1-480D-8F7F-79A320B7EE5F}" maximized="1" xWindow="-1928" yWindow="-116" windowWidth="1936" windowHeight="1048" tabRatio="909" activeSheetId="15"/>
    <customWorkbookView name="June 2025 East &amp; T5" guid="{03C3983D-0727-4E6A-BC5D-01E139585FE6}" maximized="1" xWindow="-11" yWindow="-11" windowWidth="1942" windowHeight="1150" tabRatio="909" activeSheetId="15"/>
    <customWorkbookView name="July 2025 East &amp; T5" guid="{E055FEAB-A6BC-4F63-8CB2-3FBA272441AC}" maximized="1" xWindow="-1928" yWindow="-8" windowWidth="1936" windowHeight="1048" tabRatio="841" activeSheetId="15"/>
    <customWorkbookView name="July 2025 North &amp; Central 1" guid="{D99B2D7E-6003-4F9B-A49C-10B86F0B11D7}" maximized="1" xWindow="-11" yWindow="-11" windowWidth="1942" windowHeight="1150" tabRatio="841" activeSheetId="15"/>
    <customWorkbookView name="July 2025 West &amp; Central 2" guid="{923D7FF5-5E4F-4C91-97D7-62A4CD48413C}" maximized="1" xWindow="-11" yWindow="-11" windowWidth="1942" windowHeight="1150" tabRatio="841" activeSheetId="15"/>
    <customWorkbookView name="August 2025 East &amp; T5" guid="{D8461660-A8A1-4029-B386-AF511DF54195}" maximized="1" xWindow="-11" yWindow="-11" windowWidth="1942" windowHeight="1150" tabRatio="841" activeSheetId="15"/>
    <customWorkbookView name="August 2025 North &amp; Central 1" guid="{0CC99FEF-F286-4F44-806A-510E25937FC7}" maximized="1" xWindow="-11" yWindow="-11" windowWidth="1942" windowHeight="1150" tabRatio="841" activeSheetId="15"/>
    <customWorkbookView name="November 2025 East &amp; T5" guid="{FDAC35F8-EF57-429C-9E04-D227826D1E27}" maximized="1" xWindow="-11" yWindow="-11" windowWidth="1942" windowHeight="1150" tabRatio="841" activeSheetId="15"/>
    <customWorkbookView name="November 2025 North &amp; Central 1" guid="{9B45B383-4A11-4C7D-915F-F34A3F26EDA9}" maximized="1" xWindow="-11" yWindow="-11" windowWidth="1942" windowHeight="1150" tabRatio="841" activeSheetId="15"/>
    <customWorkbookView name="November 2025 West &amp; Central 2" guid="{42312AD8-D830-4E9B-A2C0-10B802282691}" maximized="1" xWindow="-11" yWindow="-11" windowWidth="1942" windowHeight="1150" tabRatio="841" activeSheetId="15"/>
  </customWorkbookViews>
  <pivotCaches>
    <pivotCache cacheId="0" r:id="rId5"/>
  </pivotCaches>
</workbook>
</file>

<file path=xl/calcChain.xml><?xml version="1.0" encoding="utf-8"?>
<calcChain xmlns="http://schemas.openxmlformats.org/spreadsheetml/2006/main">
  <c r="CO9" i="15" l="1"/>
  <c r="CP9" i="15"/>
  <c r="CO10" i="15"/>
  <c r="CP10" i="15"/>
  <c r="CO11" i="15"/>
  <c r="CP11" i="15"/>
  <c r="CO12" i="15"/>
  <c r="CP12" i="15"/>
  <c r="CO13" i="15"/>
  <c r="CP13" i="15"/>
  <c r="CO14" i="15"/>
  <c r="CP14" i="15"/>
  <c r="CO16" i="15"/>
  <c r="CP16" i="15"/>
  <c r="CO20" i="15"/>
  <c r="CP20" i="15"/>
  <c r="CP8" i="15"/>
  <c r="CO8" i="15"/>
  <c r="CQ9" i="15"/>
  <c r="CR9" i="15"/>
  <c r="CQ10" i="15"/>
  <c r="CR10" i="15"/>
  <c r="CQ11" i="15"/>
  <c r="CR11" i="15"/>
  <c r="CQ12" i="15"/>
  <c r="CR12" i="15"/>
  <c r="CQ13" i="15"/>
  <c r="CR13" i="15"/>
  <c r="CQ14" i="15"/>
  <c r="CR14" i="15"/>
  <c r="CQ16" i="15"/>
  <c r="CR16" i="15"/>
  <c r="CQ19" i="15"/>
  <c r="CR19" i="15"/>
  <c r="CQ20" i="15"/>
  <c r="CR20" i="15"/>
  <c r="CQ21" i="15"/>
  <c r="CR21" i="15"/>
  <c r="CQ22" i="15"/>
  <c r="CR22" i="15"/>
  <c r="CR8" i="15"/>
  <c r="CQ8" i="15"/>
  <c r="C15" i="31"/>
  <c r="D15" i="31"/>
  <c r="E15" i="31"/>
  <c r="B15" i="31"/>
  <c r="C14" i="31"/>
  <c r="D14" i="31"/>
  <c r="E14" i="31"/>
  <c r="B14" i="31"/>
  <c r="C13" i="31"/>
  <c r="D13" i="31"/>
  <c r="E13" i="31"/>
  <c r="B13" i="31"/>
  <c r="G13" i="31" l="1"/>
  <c r="J13" i="31"/>
  <c r="I13" i="31"/>
  <c r="H13" i="31"/>
  <c r="G8" i="15"/>
  <c r="J8" i="15"/>
  <c r="G9" i="15"/>
  <c r="J9" i="15"/>
  <c r="G10" i="15"/>
  <c r="J10" i="15"/>
  <c r="G11" i="15"/>
  <c r="J11" i="15"/>
  <c r="G12" i="15"/>
  <c r="J12" i="15"/>
  <c r="G13" i="15"/>
  <c r="J13" i="15"/>
  <c r="G14" i="15"/>
  <c r="J14" i="15"/>
  <c r="G15" i="15"/>
  <c r="J15" i="15"/>
  <c r="G16" i="15"/>
  <c r="J16" i="15"/>
  <c r="G17" i="15"/>
  <c r="J17" i="15"/>
  <c r="G18" i="15"/>
  <c r="J18" i="15"/>
  <c r="G19" i="15"/>
  <c r="CO19" i="15" s="1"/>
  <c r="J19" i="15"/>
  <c r="CP19" i="15" s="1"/>
  <c r="G20" i="15"/>
  <c r="J20" i="15"/>
  <c r="G21" i="15"/>
  <c r="CO21" i="15" s="1"/>
  <c r="J21" i="15"/>
  <c r="CP21" i="15" s="1"/>
  <c r="G22" i="15"/>
  <c r="CO22" i="15" s="1"/>
  <c r="J22" i="15"/>
  <c r="CP22" i="15" s="1"/>
  <c r="G23" i="15"/>
  <c r="J23" i="15"/>
  <c r="AJ19" i="15"/>
  <c r="CP23" i="15" l="1"/>
  <c r="CR23" i="15"/>
  <c r="CP18" i="15"/>
  <c r="CR18" i="15"/>
  <c r="CO23" i="15"/>
  <c r="CQ23" i="15"/>
  <c r="CO18" i="15"/>
  <c r="CQ18" i="15"/>
  <c r="CO17" i="15"/>
  <c r="CQ17" i="15"/>
  <c r="CP15" i="15"/>
  <c r="CR15" i="15"/>
  <c r="CO15" i="15"/>
  <c r="CQ15" i="15"/>
  <c r="CR17" i="15"/>
  <c r="CP17" i="15"/>
  <c r="K9" i="15"/>
  <c r="L22" i="15"/>
  <c r="L15" i="15"/>
  <c r="K19" i="15"/>
  <c r="K16" i="15"/>
  <c r="L19" i="15"/>
  <c r="K23" i="15"/>
  <c r="K20" i="15"/>
  <c r="L23" i="15"/>
  <c r="K13" i="15"/>
  <c r="L12" i="15"/>
  <c r="K11" i="15"/>
  <c r="K10" i="15"/>
  <c r="L14" i="15"/>
  <c r="K8" i="15"/>
  <c r="L10" i="15"/>
  <c r="L20" i="15"/>
  <c r="K14" i="15"/>
  <c r="L8" i="15"/>
  <c r="K22" i="15"/>
  <c r="L17" i="15"/>
  <c r="L13" i="15"/>
  <c r="K17" i="15"/>
  <c r="L16" i="15"/>
  <c r="K15" i="15"/>
  <c r="K12" i="15"/>
  <c r="L11" i="15"/>
  <c r="K21" i="15"/>
  <c r="L21" i="15"/>
  <c r="L9" i="15"/>
  <c r="K18" i="15"/>
  <c r="L18" i="15"/>
  <c r="K27" i="15" l="1"/>
  <c r="K29" i="15"/>
  <c r="K30" i="15" l="1"/>
  <c r="K28" i="15"/>
  <c r="C12" i="31" l="1"/>
  <c r="D12" i="31"/>
  <c r="E12" i="31"/>
  <c r="B12" i="31"/>
  <c r="C11" i="31"/>
  <c r="D11" i="31"/>
  <c r="E11" i="31"/>
  <c r="B11" i="31"/>
  <c r="C10" i="31"/>
  <c r="D10" i="31"/>
  <c r="E10" i="31"/>
  <c r="B10" i="31"/>
  <c r="I10" i="31" l="1"/>
  <c r="J10" i="31"/>
  <c r="H10" i="31"/>
  <c r="G10" i="31"/>
  <c r="C9" i="31" l="1"/>
  <c r="D9" i="31"/>
  <c r="E9" i="31"/>
  <c r="B9" i="31"/>
  <c r="C8" i="31"/>
  <c r="D8" i="31"/>
  <c r="E8" i="31"/>
  <c r="B8" i="31"/>
  <c r="C7" i="31"/>
  <c r="D7" i="31"/>
  <c r="E7" i="31"/>
  <c r="B7" i="31"/>
  <c r="I7" i="31" l="1"/>
  <c r="J7" i="31"/>
  <c r="G7" i="31"/>
  <c r="H7" i="31"/>
  <c r="C6" i="31" l="1"/>
  <c r="D6" i="31"/>
  <c r="E6" i="31"/>
  <c r="B6" i="31"/>
  <c r="C5" i="31"/>
  <c r="D5" i="31"/>
  <c r="E5" i="31"/>
  <c r="B5" i="31"/>
  <c r="D4" i="31"/>
  <c r="E4" i="31"/>
  <c r="C4" i="31"/>
  <c r="B4" i="31"/>
  <c r="G4" i="31" l="1"/>
  <c r="H4" i="31"/>
  <c r="J4" i="31"/>
  <c r="I4" i="31"/>
</calcChain>
</file>

<file path=xl/sharedStrings.xml><?xml version="1.0" encoding="utf-8"?>
<sst xmlns="http://schemas.openxmlformats.org/spreadsheetml/2006/main" count="277" uniqueCount="186">
  <si>
    <t>Shimizu Corp</t>
  </si>
  <si>
    <t xml:space="preserve">River gate </t>
  </si>
  <si>
    <t>Blue water -2</t>
  </si>
  <si>
    <t xml:space="preserve">China Const </t>
  </si>
  <si>
    <t xml:space="preserve">Payalebar Trinity Church </t>
  </si>
  <si>
    <t xml:space="preserve">Lian Beng </t>
  </si>
  <si>
    <t>Grand Duches</t>
  </si>
  <si>
    <t>Nakano</t>
  </si>
  <si>
    <t>Jln Mutiara</t>
  </si>
  <si>
    <t>Koh Brothers</t>
  </si>
  <si>
    <t>China Jingye</t>
  </si>
  <si>
    <t>Novelty Builders</t>
  </si>
  <si>
    <t>Santrali</t>
  </si>
  <si>
    <t>Tuas</t>
  </si>
  <si>
    <t>C4A, TWRP</t>
  </si>
  <si>
    <t>C2A, TWRP</t>
  </si>
  <si>
    <t>CCCC</t>
  </si>
  <si>
    <t>Main Contractor</t>
  </si>
  <si>
    <t>Contract Sales</t>
  </si>
  <si>
    <t>Gross Total Sales</t>
  </si>
  <si>
    <t>Cumulative Repair Cost</t>
  </si>
  <si>
    <t>Net Sales</t>
  </si>
  <si>
    <t>Q1</t>
  </si>
  <si>
    <t>Q2</t>
  </si>
  <si>
    <t>Q3</t>
  </si>
  <si>
    <t>Q4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</si>
  <si>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</si>
  <si>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</si>
  <si>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</si>
  <si>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</si>
  <si>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</si>
  <si>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</si>
  <si>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</si>
  <si>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</si>
  <si>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</si>
  <si>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</si>
  <si>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</si>
  <si>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</si>
  <si>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Intra ARC</t>
  </si>
  <si>
    <t>CES_SDC Pte Ltd</t>
  </si>
  <si>
    <t>This project is only PU Grouting work</t>
  </si>
  <si>
    <t>Completed</t>
  </si>
  <si>
    <t>Status</t>
  </si>
  <si>
    <t>Ongoing</t>
  </si>
  <si>
    <t xml:space="preserve">China Harbour </t>
  </si>
  <si>
    <t xml:space="preserve">Zhuang Construction </t>
  </si>
  <si>
    <t xml:space="preserve">4A Jalan Kebaya </t>
  </si>
  <si>
    <t>C06B</t>
  </si>
  <si>
    <t>CJY/MCC</t>
  </si>
  <si>
    <t>TMKL</t>
  </si>
  <si>
    <t>Cumulative Repair %</t>
  </si>
  <si>
    <t>CR</t>
  </si>
  <si>
    <t>CJ</t>
  </si>
  <si>
    <t>SL</t>
  </si>
  <si>
    <t>TR</t>
  </si>
  <si>
    <t>S/N</t>
  </si>
  <si>
    <t>Last Date of Concrete Supply</t>
  </si>
  <si>
    <t>1 Amber Rd</t>
  </si>
  <si>
    <t>SembCorp Specialised</t>
  </si>
  <si>
    <t>Row Labels</t>
  </si>
  <si>
    <t>Grand Total</t>
  </si>
  <si>
    <t>Years (Date)</t>
  </si>
  <si>
    <t>Q3 2024</t>
  </si>
  <si>
    <t>St Thomas Walk Nakano</t>
  </si>
  <si>
    <t>Crack</t>
  </si>
  <si>
    <t>Spot Leak</t>
  </si>
  <si>
    <t>Tie Rod</t>
  </si>
  <si>
    <t>Month</t>
  </si>
  <si>
    <t>Quarter</t>
  </si>
  <si>
    <t>One bernam Phase I &amp; II</t>
  </si>
  <si>
    <t>October 2024</t>
  </si>
  <si>
    <t>Q4 2024</t>
  </si>
  <si>
    <t>November 2024</t>
  </si>
  <si>
    <t>December 2024</t>
  </si>
  <si>
    <t>Sept</t>
  </si>
  <si>
    <t>Q1 2025</t>
  </si>
  <si>
    <t>January 2025</t>
  </si>
  <si>
    <t>February 2025</t>
  </si>
  <si>
    <t>March 2025</t>
  </si>
  <si>
    <t>2025</t>
  </si>
  <si>
    <t>April 2025</t>
  </si>
  <si>
    <t>Q2 2025</t>
  </si>
  <si>
    <t>May 2025</t>
  </si>
  <si>
    <t>June 2025</t>
  </si>
  <si>
    <t>C2B TWRP</t>
  </si>
  <si>
    <t>Q3 2025</t>
  </si>
  <si>
    <t>July 2025</t>
  </si>
  <si>
    <t>August 2025</t>
  </si>
  <si>
    <t>Sum of Packer Qty (Released)</t>
  </si>
  <si>
    <t>September 2025</t>
  </si>
  <si>
    <t>October 2025</t>
  </si>
  <si>
    <t>Q4 2025</t>
  </si>
  <si>
    <t>November 2025</t>
  </si>
  <si>
    <t>December 2025</t>
  </si>
  <si>
    <t>CUMULATIVE REPAIR PERCENTAGE</t>
  </si>
  <si>
    <t>AVERAGE PROJECT REPAIR RATE</t>
  </si>
  <si>
    <t>CUMULATIVE REPAIR PERCENTAGE FOR PROJECTS REPAIRED ON
Q4 2025</t>
  </si>
  <si>
    <t>CUMULATIVE REPAIR PERCENTAGE FOR PROJECTS REPAIRED IN 
YEAR 2025</t>
  </si>
  <si>
    <t>Date Range</t>
  </si>
  <si>
    <t>Project Class</t>
  </si>
  <si>
    <t>Select Project Class</t>
  </si>
  <si>
    <t>Project Code</t>
  </si>
  <si>
    <t>Select Project</t>
  </si>
  <si>
    <t>Report Output</t>
  </si>
  <si>
    <t>Include Draft Records</t>
  </si>
  <si>
    <t>Prelim</t>
  </si>
  <si>
    <t>Logic</t>
  </si>
  <si>
    <t>Project Name</t>
  </si>
  <si>
    <t>Additional Works</t>
  </si>
  <si>
    <t>Labor Cost Rate (Per Hour)</t>
  </si>
  <si>
    <t>Project Staus (Open/Close/Both)</t>
  </si>
  <si>
    <t>find the MSOs with purpose "Repair" for each project</t>
  </si>
  <si>
    <t>Labor Cost - from Rectification Work tab of MSO, get Man Hour, and then times Labor Cost Rate from Prelim</t>
  </si>
  <si>
    <r>
      <t>Material Cost -from MSO, get the material cost for stock category with "</t>
    </r>
    <r>
      <rPr>
        <sz val="11"/>
        <color rgb="FFFF0000"/>
        <rFont val="Calibri"/>
        <family val="2"/>
        <scheme val="minor"/>
      </rPr>
      <t>CSDMTR-PKRPU</t>
    </r>
    <r>
      <rPr>
        <sz val="11"/>
        <color theme="1"/>
        <rFont val="Calibri"/>
        <family val="2"/>
        <scheme val="minor"/>
      </rPr>
      <t>"</t>
    </r>
  </si>
  <si>
    <t>Cumulative Material Cost</t>
  </si>
  <si>
    <t>Cumulative Labor Cost</t>
  </si>
  <si>
    <t>OT</t>
  </si>
  <si>
    <t>Repair Analysis Report</t>
  </si>
  <si>
    <t>A-from project code</t>
  </si>
  <si>
    <t>B-from MSO - Total</t>
  </si>
  <si>
    <t>C-formula</t>
  </si>
  <si>
    <t>D-from latest DO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</si>
  <si>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</si>
  <si>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</si>
  <si>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</si>
  <si>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</si>
  <si>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</si>
  <si>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</si>
  <si>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</si>
  <si>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</si>
  <si>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</si>
  <si>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</si>
  <si>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C1</t>
  </si>
  <si>
    <t>C2</t>
  </si>
  <si>
    <t>D1</t>
  </si>
  <si>
    <t>E1</t>
  </si>
  <si>
    <t>E2</t>
  </si>
  <si>
    <t>E3</t>
  </si>
  <si>
    <t>E4</t>
  </si>
  <si>
    <t>F1</t>
  </si>
  <si>
    <t>F2</t>
  </si>
  <si>
    <t>F3</t>
  </si>
  <si>
    <t>F4</t>
  </si>
  <si>
    <t>F5</t>
  </si>
  <si>
    <t>E - Total Repair cost by date range based on transaction date of MSO</t>
  </si>
  <si>
    <t>Column section E &amp; F based on date range, one month one column.</t>
  </si>
  <si>
    <r>
      <t xml:space="preserve">Repair Cost
</t>
    </r>
    <r>
      <rPr>
        <b/>
        <i/>
        <sz val="11"/>
        <color theme="1"/>
        <rFont val="Calibri"/>
        <family val="2"/>
        <scheme val="minor"/>
      </rPr>
      <t>(</t>
    </r>
    <r>
      <rPr>
        <b/>
        <i/>
        <sz val="11"/>
        <color rgb="FFFF0000"/>
        <rFont val="Calibri"/>
        <family val="2"/>
        <scheme val="minor"/>
      </rPr>
      <t>up to Sep 2024</t>
    </r>
    <r>
      <rPr>
        <b/>
        <i/>
        <sz val="11"/>
        <color theme="1"/>
        <rFont val="Calibri"/>
        <family val="2"/>
        <scheme val="minor"/>
      </rPr>
      <t>)</t>
    </r>
  </si>
  <si>
    <t>G-current Year  &amp; current Quarter</t>
  </si>
  <si>
    <t>G1</t>
  </si>
  <si>
    <t>G2</t>
  </si>
  <si>
    <t>G3</t>
  </si>
  <si>
    <t>G4</t>
  </si>
  <si>
    <t>Yearly Sales</t>
  </si>
  <si>
    <t>Yearly Repair</t>
  </si>
  <si>
    <t>Quarterly Sales</t>
  </si>
  <si>
    <t>Quarterly Repair</t>
  </si>
  <si>
    <t>Column section G is total sales and repair cost for current Year  &amp; current Quarter. The sales amount is from sales account by transaction date.</t>
  </si>
  <si>
    <t>OT - Others</t>
  </si>
  <si>
    <t>CR - Crack</t>
  </si>
  <si>
    <t>CJ - CJ</t>
  </si>
  <si>
    <t>SL - Spot Leak</t>
  </si>
  <si>
    <t>TR - Tie Rod</t>
  </si>
  <si>
    <t>Defect Type</t>
  </si>
  <si>
    <t>Defect Qty - from Rectification Work tab of MSO, get defect qty by defect type</t>
  </si>
  <si>
    <t>F - Defect Qty by defect type by period</t>
  </si>
  <si>
    <t>client of project code</t>
  </si>
  <si>
    <t>project name</t>
  </si>
  <si>
    <t>close - completed</t>
  </si>
  <si>
    <t>project amount</t>
  </si>
  <si>
    <t>project vo amt</t>
  </si>
  <si>
    <t>A5+A6</t>
  </si>
  <si>
    <t>from MSO</t>
  </si>
  <si>
    <t>manhour x rate</t>
  </si>
  <si>
    <t>B1+B2</t>
  </si>
  <si>
    <t>B3/A7</t>
  </si>
  <si>
    <t>A7-B3</t>
  </si>
  <si>
    <t>Transation date of latest DO</t>
  </si>
  <si>
    <t>MSO date &lt; report start date</t>
  </si>
  <si>
    <t>others</t>
  </si>
  <si>
    <t>based on prelim to filter project codes (exclude inactive project). One project one line. Sort by maincon and project name</t>
  </si>
  <si>
    <t>for column section E, first column (E1) is the month before report starting month.</t>
  </si>
  <si>
    <t>For column section F, each month is divided into 5 columns, each column representing one defect type.</t>
  </si>
  <si>
    <r>
      <t xml:space="preserve">Defects Classification Analysis - </t>
    </r>
    <r>
      <rPr>
        <sz val="11"/>
        <color rgb="FFFF0000"/>
        <rFont val="Calibri"/>
        <family val="2"/>
        <scheme val="minor"/>
      </rPr>
      <t>checkbox</t>
    </r>
  </si>
  <si>
    <r>
      <t xml:space="preserve">Packer Usage Analysis - </t>
    </r>
    <r>
      <rPr>
        <sz val="11"/>
        <color rgb="FFFF0000"/>
        <rFont val="Calibri"/>
        <family val="2"/>
        <scheme val="minor"/>
      </rPr>
      <t>checkbox</t>
    </r>
  </si>
  <si>
    <t>if "Defects Classification Analysis" is checked, show the chart only</t>
  </si>
  <si>
    <t>if "Packer Usage Analysis" is checked, show the chart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</si>
</sst>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0" fillId="0" borderId="1" xfId="0" applyBorder="1"/>
    <xf numFmtId="44" fontId="0" fillId="0" borderId="0" xfId="0" applyNumberFormat="1"/>
    <xf numFmtId="10" fontId="0" fillId="0" borderId="0" xfId="4" applyNumberFormat="1" applyFont="1"/>
    <xf numFmtId="0" fontId="0" fillId="0" borderId="0" xfId="0" applyAlignment="1">
      <alignment horizontal="center"/>
    </xf>
    <xf numFmtId="44" fontId="0" fillId="0" borderId="1" xfId="0" applyNumberForma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44" fontId="0" fillId="0" borderId="4" xfId="0" applyNumberFormat="1" applyBorder="1"/>
    <xf numFmtId="44" fontId="7" fillId="0" borderId="1" xfId="0" applyNumberFormat="1" applyFont="1" applyBorder="1"/>
    <xf numFmtId="44" fontId="8" fillId="0" borderId="1" xfId="0" applyNumberFormat="1" applyFont="1" applyBorder="1"/>
    <xf numFmtId="0" fontId="0" fillId="0" borderId="0" xfId="0" applyAlignment="1">
      <alignment horizontal="left"/>
    </xf>
    <xf numFmtId="0" fontId="9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/>
    <xf numFmtId="9" fontId="0" fillId="0" borderId="0" xfId="4" applyFont="1"/>
    <xf numFmtId="0" fontId="0" fillId="0" borderId="2" xfId="0" applyBorder="1" applyAlignment="1">
      <alignment horizontal="center"/>
    </xf>
    <xf numFmtId="43" fontId="4" fillId="0" borderId="0" xfId="1" applyFont="1"/>
    <xf numFmtId="0" fontId="7" fillId="0" borderId="1" xfId="0" applyFont="1" applyBorder="1" applyAlignment="1">
      <alignment horizontal="center"/>
    </xf>
    <xf numFmtId="10" fontId="0" fillId="0" borderId="0" xfId="4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4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/>
    <xf numFmtId="44" fontId="8" fillId="0" borderId="2" xfId="0" applyNumberFormat="1" applyFont="1" applyBorder="1"/>
    <xf numFmtId="44" fontId="0" fillId="0" borderId="2" xfId="0" applyNumberFormat="1" applyBorder="1"/>
    <xf numFmtId="44" fontId="0" fillId="0" borderId="10" xfId="0" applyNumberFormat="1" applyBorder="1"/>
    <xf numFmtId="10" fontId="0" fillId="0" borderId="2" xfId="4" applyNumberFormat="1" applyFont="1" applyBorder="1"/>
    <xf numFmtId="10" fontId="6" fillId="0" borderId="1" xfId="4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0" fillId="0" borderId="0" xfId="1" applyNumberFormat="1" applyFont="1" applyBorder="1"/>
    <xf numFmtId="0" fontId="0" fillId="0" borderId="0" xfId="0" pivotButton="1"/>
    <xf numFmtId="164" fontId="0" fillId="0" borderId="0" xfId="0" applyNumberFormat="1"/>
    <xf numFmtId="3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center"/>
    </xf>
    <xf numFmtId="14" fontId="0" fillId="0" borderId="1" xfId="0" applyNumberFormat="1" applyBorder="1"/>
    <xf numFmtId="164" fontId="0" fillId="0" borderId="1" xfId="1" applyNumberFormat="1" applyFont="1" applyBorder="1" applyAlignment="1">
      <alignment horizontal="center" vertical="center"/>
    </xf>
    <xf numFmtId="164" fontId="4" fillId="0" borderId="0" xfId="1" applyNumberFormat="1" applyFont="1"/>
    <xf numFmtId="14" fontId="0" fillId="0" borderId="0" xfId="0" applyNumberFormat="1"/>
    <xf numFmtId="44" fontId="4" fillId="0" borderId="1" xfId="0" applyNumberFormat="1" applyFont="1" applyBorder="1" applyAlignment="1">
      <alignment horizontal="center" vertical="center" wrapText="1"/>
    </xf>
    <xf numFmtId="44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4" fontId="11" fillId="2" borderId="6" xfId="0" applyNumberFormat="1" applyFont="1" applyFill="1" applyBorder="1" applyAlignment="1">
      <alignment horizontal="right" wrapText="1"/>
    </xf>
    <xf numFmtId="10" fontId="11" fillId="2" borderId="7" xfId="4" applyNumberFormat="1" applyFont="1" applyFill="1" applyBorder="1" applyAlignment="1">
      <alignment vertical="center"/>
    </xf>
    <xf numFmtId="44" fontId="11" fillId="2" borderId="11" xfId="0" applyNumberFormat="1" applyFont="1" applyFill="1" applyBorder="1" applyAlignment="1">
      <alignment horizontal="right" wrapText="1"/>
    </xf>
    <xf numFmtId="10" fontId="11" fillId="2" borderId="12" xfId="4" applyNumberFormat="1" applyFont="1" applyFill="1" applyBorder="1" applyAlignment="1">
      <alignment vertical="center"/>
    </xf>
    <xf numFmtId="44" fontId="11" fillId="2" borderId="9" xfId="0" applyNumberFormat="1" applyFont="1" applyFill="1" applyBorder="1" applyAlignment="1">
      <alignment horizontal="right" vertical="center" wrapText="1"/>
    </xf>
    <xf numFmtId="10" fontId="11" fillId="2" borderId="8" xfId="4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44" fontId="12" fillId="0" borderId="1" xfId="0" applyNumberFormat="1" applyFont="1" applyFill="1" applyBorder="1" applyAlignment="1">
      <alignment horizontal="center" vertical="center" wrapText="1"/>
    </xf>
    <xf numFmtId="44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0" fontId="10" fillId="0" borderId="1" xfId="4" applyNumberFormat="1" applyFont="1" applyBorder="1" applyAlignment="1">
      <alignment horizontal="left"/>
    </xf>
    <xf numFmtId="44" fontId="10" fillId="0" borderId="1" xfId="0" applyNumberFormat="1" applyFont="1" applyBorder="1" applyAlignment="1">
      <alignment horizontal="left"/>
    </xf>
    <xf numFmtId="44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/>
    <xf numFmtId="44" fontId="4" fillId="0" borderId="2" xfId="0" applyNumberFormat="1" applyFont="1" applyBorder="1" applyAlignment="1">
      <alignment horizontal="center" vertical="center"/>
    </xf>
    <xf numFmtId="44" fontId="4" fillId="0" borderId="13" xfId="0" applyNumberFormat="1" applyFont="1" applyBorder="1" applyAlignment="1">
      <alignment horizontal="center"/>
    </xf>
    <xf numFmtId="44" fontId="4" fillId="0" borderId="14" xfId="0" applyNumberFormat="1" applyFont="1" applyBorder="1" applyAlignment="1">
      <alignment horizontal="center"/>
    </xf>
    <xf numFmtId="44" fontId="4" fillId="0" borderId="10" xfId="0" applyNumberFormat="1" applyFont="1" applyBorder="1" applyAlignment="1">
      <alignment horizontal="center"/>
    </xf>
    <xf numFmtId="0" fontId="4" fillId="0" borderId="13" xfId="0" quotePrefix="1" applyFont="1" applyBorder="1" applyAlignment="1">
      <alignment horizontal="center"/>
    </xf>
    <xf numFmtId="0" fontId="4" fillId="0" borderId="14" xfId="0" quotePrefix="1" applyFont="1" applyBorder="1" applyAlignment="1">
      <alignment horizontal="center"/>
    </xf>
    <xf numFmtId="0" fontId="4" fillId="0" borderId="10" xfId="0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10" fillId="0" borderId="1" xfId="0" applyNumberFormat="1" applyFont="1" applyBorder="1"/>
    <xf numFmtId="10" fontId="10" fillId="0" borderId="1" xfId="4" applyNumberFormat="1" applyFont="1" applyBorder="1"/>
    <xf numFmtId="0" fontId="10" fillId="0" borderId="1" xfId="0" applyFont="1" applyBorder="1"/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2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10" fillId="0" borderId="0" xfId="0" applyFont="1" applyBorder="1" applyAlignment="1">
      <alignment horizontal="center"/>
    </xf>
    <xf numFmtId="44" fontId="10" fillId="0" borderId="0" xfId="0" applyNumberFormat="1" applyFont="1" applyBorder="1"/>
    <xf numFmtId="10" fontId="10" fillId="0" borderId="0" xfId="4" applyNumberFormat="1" applyFont="1" applyBorder="1"/>
    <xf numFmtId="44" fontId="10" fillId="0" borderId="13" xfId="0" applyNumberFormat="1" applyFont="1" applyBorder="1"/>
    <xf numFmtId="44" fontId="10" fillId="0" borderId="14" xfId="0" applyNumberFormat="1" applyFont="1" applyBorder="1"/>
    <xf numFmtId="44" fontId="10" fillId="0" borderId="10" xfId="0" applyNumberFormat="1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0" xfId="0" applyFont="1" applyBorder="1"/>
    <xf numFmtId="0" fontId="10" fillId="0" borderId="0" xfId="0" applyFont="1" applyBorder="1"/>
    <xf numFmtId="44" fontId="10" fillId="0" borderId="0" xfId="0" applyNumberFormat="1" applyFont="1" applyBorder="1" applyAlignment="1">
      <alignment wrapText="1"/>
    </xf>
    <xf numFmtId="44" fontId="10" fillId="0" borderId="2" xfId="0" applyNumberFormat="1" applyFont="1" applyBorder="1" applyAlignment="1">
      <alignment wrapText="1"/>
    </xf>
    <xf numFmtId="0" fontId="10" fillId="0" borderId="0" xfId="0" applyFont="1" applyBorder="1" applyAlignment="1">
      <alignment horizontal="left" wrapText="1"/>
    </xf>
  </cellXfs>
  <cellStyles count="7">
    <cellStyle name="Comma" xfId="1" builtinId="3"/>
    <cellStyle name="Comma 2" xfId="3" xr:uid="{00000000-0005-0000-0000-000001000000}"/>
    <cellStyle name="Comma 3" xfId="5" xr:uid="{CCE90CCF-2F33-4C68-AB43-37ABFBDBC8AF}"/>
    <cellStyle name="Normal" xfId="0" builtinId="0"/>
    <cellStyle name="Normal 2" xfId="2" xr:uid="{00000000-0005-0000-0000-000005000000}"/>
    <cellStyle name="Normal 2 2" xfId="6" xr:uid="{DCAB1861-40BA-4B4E-A680-2CA9F2DA61A4}"/>
    <cellStyle name="Percent" xfId="4" builtinId="5"/>
  </cellStyles>
  <dxfs count="3"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FFFF"/>
      <color rgb="FF0000FF"/>
      <color rgb="FF990033"/>
      <color rgb="FFD60093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Defects Classification (using</a:t>
            </a:r>
            <a:r>
              <a:rPr lang="en-SG" baseline="0"/>
              <a:t> packer 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'Defects Classification Analysis'!$B$3</c:f>
              <c:strCache>
                <c:ptCount val="1"/>
                <c:pt idx="0">
                  <c:v>Crack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'Defects Classification Analysis'!$A$4:$A$15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'Defects Classification Analysis'!$B$4:$B$15</c:f>
              <c:numCache>
                <c:formatCode>General</c:formatCode>
                <c:ptCount val="12"/>
                <c:pt idx="0">
                  <c:v>9789</c:v>
                </c:pt>
                <c:pt idx="1">
                  <c:v>8849</c:v>
                </c:pt>
                <c:pt idx="2">
                  <c:v>11242</c:v>
                </c:pt>
                <c:pt idx="3">
                  <c:v>5335</c:v>
                </c:pt>
                <c:pt idx="4">
                  <c:v>3073</c:v>
                </c:pt>
                <c:pt idx="5">
                  <c:v>1894</c:v>
                </c:pt>
                <c:pt idx="6">
                  <c:v>3143</c:v>
                </c:pt>
                <c:pt idx="7">
                  <c:v>5097</c:v>
                </c:pt>
                <c:pt idx="8">
                  <c:v>1968</c:v>
                </c:pt>
                <c:pt idx="9">
                  <c:v>2181</c:v>
                </c:pt>
                <c:pt idx="10">
                  <c:v>2284</c:v>
                </c:pt>
                <c:pt idx="11">
                  <c:v>5329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B-4504-846B-F3ECAA8264D8}"/>
            </c:ext>
          </c:extLst>
        </c:ser>
        <c:ser>
          <c:idx val="1"/>
          <c:order val="1"/>
          <c:tx>
            <c:strRef>
              <c:f>'Defects Classification Analysis'!$C$3</c:f>
              <c:strCache>
                <c:ptCount val="1"/>
                <c:pt idx="0">
                  <c:v>CJ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'Defects Classification Analysis'!$A$4:$A$15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'Defects Classification Analysis'!$C$4:$C$15</c:f>
              <c:numCache>
                <c:formatCode>General</c:formatCode>
                <c:ptCount val="12"/>
                <c:pt idx="0">
                  <c:v>1849</c:v>
                </c:pt>
                <c:pt idx="1">
                  <c:v>2980</c:v>
                </c:pt>
                <c:pt idx="2">
                  <c:v>2201</c:v>
                </c:pt>
                <c:pt idx="3">
                  <c:v>452</c:v>
                </c:pt>
                <c:pt idx="4">
                  <c:v>1060</c:v>
                </c:pt>
                <c:pt idx="5">
                  <c:v>132</c:v>
                </c:pt>
                <c:pt idx="6">
                  <c:v>925</c:v>
                </c:pt>
                <c:pt idx="7">
                  <c:v>968</c:v>
                </c:pt>
                <c:pt idx="8">
                  <c:v>221</c:v>
                </c:pt>
                <c:pt idx="9">
                  <c:v>831</c:v>
                </c:pt>
                <c:pt idx="10">
                  <c:v>1118</c:v>
                </c:pt>
                <c:pt idx="11">
                  <c:v>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B-4504-846B-F3ECAA8264D8}"/>
            </c:ext>
          </c:extLst>
        </c:ser>
        <c:ser>
          <c:idx val="2"/>
          <c:order val="2"/>
          <c:tx>
            <c:strRef>
              <c:f>'Defects Classification Analysis'!$D$3</c:f>
              <c:strCache>
                <c:ptCount val="1"/>
                <c:pt idx="0">
                  <c:v>Spot Leak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'Defects Classification Analysis'!$A$4:$A$15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'Defects Classification Analysis'!$D$4:$D$15</c:f>
              <c:numCache>
                <c:formatCode>General</c:formatCode>
                <c:ptCount val="12"/>
                <c:pt idx="0">
                  <c:v>2336</c:v>
                </c:pt>
                <c:pt idx="1">
                  <c:v>2494</c:v>
                </c:pt>
                <c:pt idx="2">
                  <c:v>5824</c:v>
                </c:pt>
                <c:pt idx="3">
                  <c:v>1517</c:v>
                </c:pt>
                <c:pt idx="4">
                  <c:v>2247</c:v>
                </c:pt>
                <c:pt idx="5">
                  <c:v>624</c:v>
                </c:pt>
                <c:pt idx="6">
                  <c:v>5196</c:v>
                </c:pt>
                <c:pt idx="7">
                  <c:v>7773</c:v>
                </c:pt>
                <c:pt idx="8">
                  <c:v>3270</c:v>
                </c:pt>
                <c:pt idx="9">
                  <c:v>3380</c:v>
                </c:pt>
                <c:pt idx="10">
                  <c:v>5245</c:v>
                </c:pt>
                <c:pt idx="11">
                  <c:v>8738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B-4504-846B-F3ECAA8264D8}"/>
            </c:ext>
          </c:extLst>
        </c:ser>
        <c:ser>
          <c:idx val="3"/>
          <c:order val="3"/>
          <c:tx>
            <c:strRef>
              <c:f>'Defects Classification Analysis'!$E$3</c:f>
              <c:strCache>
                <c:ptCount val="1"/>
                <c:pt idx="0">
                  <c:v>Tie Rod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'Defects Classification Analysis'!$A$4:$A$15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'Defects Classification Analysis'!$E$4:$E$15</c:f>
              <c:numCache>
                <c:formatCode>General</c:formatCode>
                <c:ptCount val="12"/>
                <c:pt idx="0">
                  <c:v>20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14</c:v>
                </c:pt>
                <c:pt idx="9">
                  <c:v>68</c:v>
                </c:pt>
                <c:pt idx="10">
                  <c:v>93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4B-4504-846B-F3ECAA82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411839"/>
        <c:axId val="1891397919"/>
      </c:lineChart>
      <c:dateAx>
        <c:axId val="18914118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397919"/>
        <c:crosses val="autoZero"/>
        <c:auto val="1"/>
        <c:lblOffset val="100"/>
        <c:baseTimeUnit val="months"/>
      </c:dateAx>
      <c:valAx>
        <c:axId val="18913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1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Q4 2025 Defects classification</a:t>
            </a:r>
          </a:p>
          <a:p>
            <a:pPr>
              <a:defRPr/>
            </a:pPr>
            <a:r>
              <a:rPr lang="en-SG"/>
              <a:t>by total</a:t>
            </a:r>
            <a:r>
              <a:rPr lang="en-SG" baseline="0"/>
              <a:t> number of packers used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A0-491A-9B73-C3C9E330D1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A0-491A-9B73-C3C9E330D1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FA0-491A-9B73-C3C9E330D1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FA0-491A-9B73-C3C9E330D1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'Defects Classification Analysis'!$G$3:$J$3</c:f>
              <c:strCache>
                <c:ptCount val="4"/>
                <c:pt idx="0">
                  <c:v>Crack</c:v>
                </c:pt>
                <c:pt idx="1">
                  <c:v>CJ</c:v>
                </c:pt>
                <c:pt idx="2">
                  <c:v>Spot Leak</c:v>
                </c:pt>
                <c:pt idx="3">
                  <c:v>Tie Rod</c:v>
                </c:pt>
              </c:strCache>
            </c:strRef>
          </c:cat>
          <c:val>
            <c:numRef>
              <c:f>'Defects Classification Analysis'!$G$13:$J$13</c:f>
              <c:numCache>
                <c:formatCode>General</c:formatCode>
                <c:ptCount val="4"/>
                <c:pt idx="0">
                  <c:v>9794</c:v>
                </c:pt>
                <c:pt idx="1">
                  <c:v>2600</c:v>
                </c:pt>
                <c:pt idx="2">
                  <c:v>17363</c:v>
                </c:pt>
                <c:pt idx="3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6-4AB5-B031-F121DBDB63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[CSD - Repair Analysis.xlsx]Packer Usage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Total</a:t>
            </a:r>
            <a:r>
              <a:rPr lang="en-SG" baseline="0"/>
              <a:t> Packer Usage Per Month (2025)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'Packer Usage Analysis'!$C$8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'Packer Usage Analysis'!$B$9:$B$21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'Packer Usage Analysis'!$C$9:$C$21</c:f>
              <c:numCache>
                <c:formatCode>#,##0</c:formatCode>
                <c:ptCount val="12"/>
                <c:pt idx="0">
                  <c:v>19100</c:v>
                </c:pt>
                <c:pt idx="1">
                  <c:v>19700</c:v>
                </c:pt>
                <c:pt idx="2">
                  <c:v>22200</c:v>
                </c:pt>
                <c:pt idx="3">
                  <c:v>15900</c:v>
                </c:pt>
                <c:pt idx="4">
                  <c:v>19700</c:v>
                </c:pt>
                <c:pt idx="5">
                  <c:v>22500</c:v>
                </c:pt>
                <c:pt idx="6">
                  <c:v>28200</c:v>
                </c:pt>
                <c:pt idx="7">
                  <c:v>24000</c:v>
                </c:pt>
                <c:pt idx="8">
                  <c:v>13500</c:v>
                </c:pt>
                <c:pt idx="9">
                  <c:v>12900</c:v>
                </c:pt>
                <c:pt idx="10">
                  <c:v>13700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25-4E12-A910-4B5CCB1052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5585343"/>
        <c:axId val="965617503"/>
      </c:lineChart>
      <c:catAx>
        <c:axId val="96558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17503"/>
        <c:crosses val="autoZero"/>
        <c:auto val="1"/>
        <c:lblAlgn val="ctr"/>
        <c:lblOffset val="100"/>
        <c:noMultiLvlLbl val="0"/>
      </c:catAx>
      <c:valAx>
        <c:axId val="96561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8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74893</xdr:colOff>
      <xdr:row>1</xdr:row>
      <xdr:rowOff>7838</xdr:rowOff>
    </xdr:from>
    <xdr:to>
      <xdr:col>11</xdr:col>
      <xdr:colOff>324597</xdr:colOff>
      <xdr:row>22</xdr:row>
      <xdr:rowOff>84791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C70108-467A-CA00-2885-BF026B6BE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380399</xdr:colOff>
      <xdr:row>1</xdr:row>
      <xdr:rowOff>9100</xdr:rowOff>
    </xdr:from>
    <xdr:to>
      <xdr:col>15</xdr:col>
      <xdr:colOff>235324</xdr:colOff>
      <xdr:row>22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3D99F-59F1-B1FF-86B3-B5140E32F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168461</xdr:colOff>
      <xdr:row>0</xdr:row>
      <xdr:rowOff>163138</xdr:rowOff>
    </xdr:from>
    <xdr:to>
      <xdr:col>13</xdr:col>
      <xdr:colOff>449036</xdr:colOff>
      <xdr:row>22</xdr:row>
      <xdr:rowOff>35832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E8ED1-20BF-42FE-9234-A9D8AF9CF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Bryan" refreshedDate="46030.559461689816" createdVersion="8" refreshedVersion="8" minRefreshableVersion="3" recordCount="111" xr:uid="{036EF3E3-BB07-47B8-B4DD-48A26DEB7150}">
  <cacheSource type="worksheet">
    <worksheetSource ref="A1:C1048576" sheet="Released Packer Data"/>
  </cacheSource>
  <cacheFields count="6">
    <cacheField name="Date" numFmtId="0">
      <sharedItems containsNonDate="0" containsDate="1" containsString="0" containsBlank="1" minDate="2023-11-01T00:00:00" maxDate="2025-12-02T00:00:00" count="27"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m/>
      </sharedItems>
      <fieldGroup par="5"/>
    </cacheField>
    <cacheField name="Area" numFmtId="0">
      <sharedItems containsBlank="1" count="9">
        <s v="Central"/>
        <s v="West"/>
        <s v="North"/>
        <s v="East &amp; Sentosa"/>
        <s v="T5 ARC"/>
        <s v="West &amp; Central 1"/>
        <s v="East &amp; T5"/>
        <s v="North &amp; Central 1"/>
        <m/>
      </sharedItems>
    </cacheField>
    <cacheField name="Packer Qty (Released)" numFmtId="164">
      <sharedItems containsString="0" containsBlank="1" containsNumber="1" containsInteger="1" minValue="400" maxValue="25400"/>
    </cacheField>
    <cacheField name="Months (Date)" numFmtId="0" databaseField="0">
      <fieldGroup base="0">
        <rangePr groupBy="months" startDate="2023-11-01T00:00:00" endDate="2025-12-02T00:00:00"/>
        <groupItems count="14">
          <s v="&lt;1/1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/12/2025"/>
        </groupItems>
      </fieldGroup>
    </cacheField>
    <cacheField name="Quarters (Date)" numFmtId="0" databaseField="0">
      <fieldGroup base="0">
        <rangePr groupBy="quarters" startDate="2023-11-01T00:00:00" endDate="2025-12-02T00:00:00"/>
        <groupItems count="6">
          <s v="&lt;1/11/2023"/>
          <s v="Qtr1"/>
          <s v="Qtr2"/>
          <s v="Qtr3"/>
          <s v="Qtr4"/>
          <s v="&gt;2/12/2025"/>
        </groupItems>
      </fieldGroup>
    </cacheField>
    <cacheField name="Years (Date)" numFmtId="0" databaseField="0">
      <fieldGroup base="0">
        <rangePr groupBy="years" startDate="2023-11-01T00:00:00" endDate="2025-12-02T00:00:00"/>
        <groupItems count="5">
          <s v="&lt;1/11/2023"/>
          <s v="2023"/>
          <s v="2024"/>
          <s v="2025"/>
          <s v="&gt;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n v="3800"/>
  </r>
  <r>
    <x v="1"/>
    <x v="0"/>
    <n v="5900"/>
  </r>
  <r>
    <x v="2"/>
    <x v="0"/>
    <n v="9000"/>
  </r>
  <r>
    <x v="3"/>
    <x v="0"/>
    <n v="6200"/>
  </r>
  <r>
    <x v="4"/>
    <x v="0"/>
    <n v="10900"/>
  </r>
  <r>
    <x v="5"/>
    <x v="0"/>
    <n v="7000"/>
  </r>
  <r>
    <x v="6"/>
    <x v="0"/>
    <n v="4700"/>
  </r>
  <r>
    <x v="7"/>
    <x v="0"/>
    <n v="5700"/>
  </r>
  <r>
    <x v="8"/>
    <x v="0"/>
    <n v="5200"/>
  </r>
  <r>
    <x v="0"/>
    <x v="1"/>
    <n v="4650"/>
  </r>
  <r>
    <x v="1"/>
    <x v="1"/>
    <n v="4600"/>
  </r>
  <r>
    <x v="2"/>
    <x v="1"/>
    <n v="4400"/>
  </r>
  <r>
    <x v="3"/>
    <x v="1"/>
    <n v="3400"/>
  </r>
  <r>
    <x v="4"/>
    <x v="1"/>
    <n v="2300"/>
  </r>
  <r>
    <x v="5"/>
    <x v="1"/>
    <n v="1900"/>
  </r>
  <r>
    <x v="6"/>
    <x v="1"/>
    <n v="1100"/>
  </r>
  <r>
    <x v="7"/>
    <x v="1"/>
    <n v="4500"/>
  </r>
  <r>
    <x v="8"/>
    <x v="1"/>
    <n v="8100"/>
  </r>
  <r>
    <x v="0"/>
    <x v="2"/>
    <n v="3900"/>
  </r>
  <r>
    <x v="1"/>
    <x v="2"/>
    <n v="900"/>
  </r>
  <r>
    <x v="2"/>
    <x v="2"/>
    <n v="2800"/>
  </r>
  <r>
    <x v="3"/>
    <x v="2"/>
    <n v="1700"/>
  </r>
  <r>
    <x v="4"/>
    <x v="2"/>
    <n v="1800"/>
  </r>
  <r>
    <x v="5"/>
    <x v="2"/>
    <n v="3400"/>
  </r>
  <r>
    <x v="6"/>
    <x v="2"/>
    <n v="2430"/>
  </r>
  <r>
    <x v="7"/>
    <x v="2"/>
    <n v="400"/>
  </r>
  <r>
    <x v="8"/>
    <x v="2"/>
    <n v="900"/>
  </r>
  <r>
    <x v="0"/>
    <x v="3"/>
    <n v="2850"/>
  </r>
  <r>
    <x v="1"/>
    <x v="3"/>
    <n v="950"/>
  </r>
  <r>
    <x v="2"/>
    <x v="3"/>
    <n v="5000"/>
  </r>
  <r>
    <x v="3"/>
    <x v="3"/>
    <n v="3300"/>
  </r>
  <r>
    <x v="4"/>
    <x v="3"/>
    <n v="5800"/>
  </r>
  <r>
    <x v="5"/>
    <x v="3"/>
    <n v="4900"/>
  </r>
  <r>
    <x v="6"/>
    <x v="3"/>
    <n v="6200"/>
  </r>
  <r>
    <x v="7"/>
    <x v="3"/>
    <n v="4900"/>
  </r>
  <r>
    <x v="8"/>
    <x v="3"/>
    <n v="4600"/>
  </r>
  <r>
    <x v="0"/>
    <x v="4"/>
    <n v="3905"/>
  </r>
  <r>
    <x v="1"/>
    <x v="4"/>
    <n v="4122"/>
  </r>
  <r>
    <x v="2"/>
    <x v="4"/>
    <n v="2407"/>
  </r>
  <r>
    <x v="3"/>
    <x v="4"/>
    <n v="3156"/>
  </r>
  <r>
    <x v="4"/>
    <x v="4"/>
    <n v="2247"/>
  </r>
  <r>
    <x v="5"/>
    <x v="4"/>
    <n v="3728"/>
  </r>
  <r>
    <x v="6"/>
    <x v="4"/>
    <n v="3511"/>
  </r>
  <r>
    <x v="7"/>
    <x v="4"/>
    <n v="3684"/>
  </r>
  <r>
    <x v="8"/>
    <x v="4"/>
    <n v="5003"/>
  </r>
  <r>
    <x v="9"/>
    <x v="0"/>
    <n v="2800"/>
  </r>
  <r>
    <x v="9"/>
    <x v="1"/>
    <n v="7400"/>
  </r>
  <r>
    <x v="9"/>
    <x v="2"/>
    <n v="900"/>
  </r>
  <r>
    <x v="9"/>
    <x v="3"/>
    <n v="5300"/>
  </r>
  <r>
    <x v="9"/>
    <x v="4"/>
    <n v="6500"/>
  </r>
  <r>
    <x v="10"/>
    <x v="0"/>
    <n v="2200"/>
  </r>
  <r>
    <x v="10"/>
    <x v="1"/>
    <n v="5900"/>
  </r>
  <r>
    <x v="10"/>
    <x v="2"/>
    <n v="1000"/>
  </r>
  <r>
    <x v="10"/>
    <x v="3"/>
    <n v="3900"/>
  </r>
  <r>
    <x v="10"/>
    <x v="4"/>
    <n v="11000"/>
  </r>
  <r>
    <x v="11"/>
    <x v="0"/>
    <n v="3100"/>
  </r>
  <r>
    <x v="11"/>
    <x v="1"/>
    <n v="2000"/>
  </r>
  <r>
    <x v="11"/>
    <x v="2"/>
    <n v="2800"/>
  </r>
  <r>
    <x v="11"/>
    <x v="3"/>
    <n v="4100"/>
  </r>
  <r>
    <x v="11"/>
    <x v="4"/>
    <n v="10500"/>
  </r>
  <r>
    <x v="12"/>
    <x v="0"/>
    <n v="1900"/>
  </r>
  <r>
    <x v="12"/>
    <x v="1"/>
    <n v="8600"/>
  </r>
  <r>
    <x v="12"/>
    <x v="2"/>
    <n v="1900"/>
  </r>
  <r>
    <x v="12"/>
    <x v="3"/>
    <n v="2400"/>
  </r>
  <r>
    <x v="12"/>
    <x v="4"/>
    <n v="12500"/>
  </r>
  <r>
    <x v="13"/>
    <x v="0"/>
    <n v="2200"/>
  </r>
  <r>
    <x v="13"/>
    <x v="1"/>
    <n v="10200"/>
  </r>
  <r>
    <x v="13"/>
    <x v="2"/>
    <n v="800"/>
  </r>
  <r>
    <x v="13"/>
    <x v="3"/>
    <n v="2800"/>
  </r>
  <r>
    <x v="13"/>
    <x v="4"/>
    <n v="12500"/>
  </r>
  <r>
    <x v="14"/>
    <x v="0"/>
    <n v="3000"/>
  </r>
  <r>
    <x v="14"/>
    <x v="1"/>
    <n v="5600"/>
  </r>
  <r>
    <x v="14"/>
    <x v="2"/>
    <n v="700"/>
  </r>
  <r>
    <x v="14"/>
    <x v="3"/>
    <n v="2800"/>
  </r>
  <r>
    <x v="14"/>
    <x v="4"/>
    <n v="7000"/>
  </r>
  <r>
    <x v="15"/>
    <x v="0"/>
    <n v="1400"/>
  </r>
  <r>
    <x v="15"/>
    <x v="1"/>
    <n v="7400"/>
  </r>
  <r>
    <x v="15"/>
    <x v="2"/>
    <n v="500"/>
  </r>
  <r>
    <x v="15"/>
    <x v="3"/>
    <n v="3400"/>
  </r>
  <r>
    <x v="15"/>
    <x v="4"/>
    <n v="7000"/>
  </r>
  <r>
    <x v="16"/>
    <x v="5"/>
    <n v="12900"/>
  </r>
  <r>
    <x v="16"/>
    <x v="6"/>
    <n v="8300"/>
  </r>
  <r>
    <x v="16"/>
    <x v="7"/>
    <n v="1000"/>
  </r>
  <r>
    <x v="17"/>
    <x v="5"/>
    <n v="6000"/>
  </r>
  <r>
    <x v="17"/>
    <x v="6"/>
    <n v="7800"/>
  </r>
  <r>
    <x v="17"/>
    <x v="7"/>
    <n v="2100"/>
  </r>
  <r>
    <x v="18"/>
    <x v="5"/>
    <n v="17300"/>
  </r>
  <r>
    <x v="18"/>
    <x v="6"/>
    <n v="1200"/>
  </r>
  <r>
    <x v="18"/>
    <x v="7"/>
    <n v="1200"/>
  </r>
  <r>
    <x v="19"/>
    <x v="5"/>
    <n v="19500"/>
  </r>
  <r>
    <x v="19"/>
    <x v="6"/>
    <n v="2300"/>
  </r>
  <r>
    <x v="19"/>
    <x v="7"/>
    <n v="700"/>
  </r>
  <r>
    <x v="20"/>
    <x v="5"/>
    <n v="25400"/>
  </r>
  <r>
    <x v="20"/>
    <x v="6"/>
    <n v="1300"/>
  </r>
  <r>
    <x v="20"/>
    <x v="7"/>
    <n v="1500"/>
  </r>
  <r>
    <x v="21"/>
    <x v="6"/>
    <n v="900"/>
  </r>
  <r>
    <x v="21"/>
    <x v="7"/>
    <n v="600"/>
  </r>
  <r>
    <x v="21"/>
    <x v="5"/>
    <n v="22500"/>
  </r>
  <r>
    <x v="22"/>
    <x v="7"/>
    <n v="700"/>
  </r>
  <r>
    <x v="22"/>
    <x v="5"/>
    <n v="10200"/>
  </r>
  <r>
    <x v="22"/>
    <x v="6"/>
    <n v="2600"/>
  </r>
  <r>
    <x v="23"/>
    <x v="7"/>
    <n v="400"/>
  </r>
  <r>
    <x v="23"/>
    <x v="5"/>
    <n v="10300"/>
  </r>
  <r>
    <x v="23"/>
    <x v="6"/>
    <n v="2200"/>
  </r>
  <r>
    <x v="24"/>
    <x v="7"/>
    <n v="600"/>
  </r>
  <r>
    <x v="24"/>
    <x v="5"/>
    <n v="10300"/>
  </r>
  <r>
    <x v="24"/>
    <x v="6"/>
    <n v="2800"/>
  </r>
  <r>
    <x v="25"/>
    <x v="7"/>
    <n v="1400"/>
  </r>
  <r>
    <x v="25"/>
    <x v="5"/>
    <n v="19400"/>
  </r>
  <r>
    <x v="25"/>
    <x v="6"/>
    <n v="9200"/>
  </r>
  <r>
    <x v="26"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B7EED-F61D-48D9-BF5E-38BD180DA3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8:C21" firstHeaderRow="1" firstDataRow="1" firstDataCol="1" rowPageCount="1" colPageCount="1"/>
  <pivotFields count="6">
    <pivotField showAll="0">
      <items count="28">
        <item x="0"/>
        <item x="1"/>
        <item x="2"/>
        <item x="3"/>
        <item x="4"/>
        <item x="5"/>
        <item x="6"/>
        <item x="7"/>
        <item x="8"/>
        <item x="2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h="1" x="0"/>
        <item x="1"/>
        <item x="2"/>
        <item x="3"/>
        <item x="4"/>
        <item h="1" x="5"/>
        <item t="default"/>
      </items>
    </pivotField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5" hier="-1"/>
  </pageFields>
  <dataFields count="1">
    <dataField name="Sum of Packer Qty (Released)" fld="2" baseField="3" baseItem="1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E6ED-A669-4A5A-98D2-FFD0942D692F}">
  <dimension ref="A1:L26"/>
  <sheetViews>
    <sheetView tabSelected="1" workbookViewId="0">
      <selection activeCell="L21" sqref="L21"/>
    </sheetView>
  </sheetViews>
  <sheetFormatPr defaultRowHeight="15" x14ac:dyDescent="0.25"/>
  <cols>
    <col min="1" max="1" width="7" customWidth="1"/>
    <col min="2" max="2" width="30.140625" customWidth="1"/>
    <col min="11" max="11" width="19.28515625" customWidth="1"/>
    <col min="12" max="12" width="25" customWidth="1"/>
  </cols>
  <sheetData>
    <row r="1" spans="1:12" x14ac:dyDescent="0.25">
      <c r="A1" s="6" t="s">
        <v>105</v>
      </c>
    </row>
    <row r="2" spans="1:12" x14ac:dyDescent="0.25">
      <c r="A2">
        <v>1</v>
      </c>
      <c r="B2" t="s">
        <v>98</v>
      </c>
      <c r="K2" s="6" t="s">
        <v>162</v>
      </c>
    </row>
    <row r="3" spans="1:12" x14ac:dyDescent="0.25">
      <c r="A3">
        <v>2</v>
      </c>
      <c r="B3" t="s">
        <v>17</v>
      </c>
      <c r="K3" t="s">
        <v>158</v>
      </c>
    </row>
    <row r="4" spans="1:12" x14ac:dyDescent="0.25">
      <c r="A4">
        <v>3</v>
      </c>
      <c r="B4" t="s">
        <v>99</v>
      </c>
      <c r="K4" t="s">
        <v>159</v>
      </c>
    </row>
    <row r="5" spans="1:12" x14ac:dyDescent="0.25">
      <c r="A5">
        <v>4</v>
      </c>
      <c r="B5" t="s">
        <v>100</v>
      </c>
      <c r="K5" t="s">
        <v>160</v>
      </c>
    </row>
    <row r="6" spans="1:12" x14ac:dyDescent="0.25">
      <c r="A6">
        <v>5</v>
      </c>
      <c r="B6" t="s">
        <v>101</v>
      </c>
      <c r="K6" t="s">
        <v>161</v>
      </c>
    </row>
    <row r="7" spans="1:12" x14ac:dyDescent="0.25">
      <c r="A7">
        <v>6</v>
      </c>
      <c r="B7" t="s">
        <v>102</v>
      </c>
      <c r="K7" t="s">
        <v>157</v>
      </c>
    </row>
    <row r="8" spans="1:12" x14ac:dyDescent="0.25">
      <c r="A8">
        <v>7</v>
      </c>
      <c r="B8" t="s">
        <v>110</v>
      </c>
    </row>
    <row r="9" spans="1:12" x14ac:dyDescent="0.25">
      <c r="A9">
        <v>8</v>
      </c>
      <c r="B9" t="s">
        <v>109</v>
      </c>
    </row>
    <row r="10" spans="1:12" ht="15" customHeight="1" x14ac:dyDescent="0.25">
      <c r="A10">
        <v>9</v>
      </c>
      <c r="B10" t="s">
        <v>103</v>
      </c>
      <c r="K10" s="79"/>
      <c r="L10" s="77"/>
    </row>
    <row r="11" spans="1:12" x14ac:dyDescent="0.25">
      <c r="A11">
        <v>10</v>
      </c>
      <c r="B11" t="s">
        <v>104</v>
      </c>
      <c r="K11" s="80"/>
      <c r="L11" s="78"/>
    </row>
    <row r="12" spans="1:12" x14ac:dyDescent="0.25">
      <c r="A12">
        <v>11</v>
      </c>
      <c r="B12" t="s">
        <v>182</v>
      </c>
      <c r="K12" s="63"/>
    </row>
    <row r="13" spans="1:12" x14ac:dyDescent="0.25">
      <c r="A13">
        <v>12</v>
      </c>
      <c r="B13" t="s">
        <v>183</v>
      </c>
      <c r="K13" s="63"/>
    </row>
    <row r="14" spans="1:12" x14ac:dyDescent="0.25">
      <c r="K14" s="63"/>
    </row>
    <row r="15" spans="1:12" x14ac:dyDescent="0.25">
      <c r="A15" s="6" t="s">
        <v>106</v>
      </c>
      <c r="K15" s="63"/>
    </row>
    <row r="16" spans="1:12" x14ac:dyDescent="0.25">
      <c r="A16">
        <v>1</v>
      </c>
      <c r="B16" t="s">
        <v>179</v>
      </c>
      <c r="K16" s="63"/>
    </row>
    <row r="17" spans="1:2" x14ac:dyDescent="0.25">
      <c r="A17">
        <v>2</v>
      </c>
      <c r="B17" t="s">
        <v>111</v>
      </c>
    </row>
    <row r="18" spans="1:2" x14ac:dyDescent="0.25">
      <c r="A18">
        <v>3</v>
      </c>
      <c r="B18" t="s">
        <v>113</v>
      </c>
    </row>
    <row r="19" spans="1:2" x14ac:dyDescent="0.25">
      <c r="A19">
        <v>4</v>
      </c>
      <c r="B19" t="s">
        <v>112</v>
      </c>
    </row>
    <row r="20" spans="1:2" x14ac:dyDescent="0.25">
      <c r="A20">
        <v>5</v>
      </c>
      <c r="B20" t="s">
        <v>163</v>
      </c>
    </row>
    <row r="21" spans="1:2" x14ac:dyDescent="0.25">
      <c r="A21">
        <v>6</v>
      </c>
      <c r="B21" t="s">
        <v>145</v>
      </c>
    </row>
    <row r="22" spans="1:2" x14ac:dyDescent="0.25">
      <c r="A22">
        <v>7</v>
      </c>
      <c r="B22" t="s">
        <v>180</v>
      </c>
    </row>
    <row r="23" spans="1:2" x14ac:dyDescent="0.25">
      <c r="A23">
        <v>8</v>
      </c>
      <c r="B23" t="s">
        <v>181</v>
      </c>
    </row>
    <row r="24" spans="1:2" x14ac:dyDescent="0.25">
      <c r="A24">
        <v>9</v>
      </c>
      <c r="B24" t="s">
        <v>156</v>
      </c>
    </row>
    <row r="25" spans="1:2" x14ac:dyDescent="0.25">
      <c r="A25">
        <v>10</v>
      </c>
      <c r="B25" t="s">
        <v>184</v>
      </c>
    </row>
    <row r="26" spans="1:2" x14ac:dyDescent="0.25">
      <c r="A26">
        <v>11</v>
      </c>
      <c r="B26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87"/>
  <sheetViews>
    <sheetView zoomScaleNormal="100" workbookViewId="0">
      <pane xSplit="3" ySplit="7" topLeftCell="D23" activePane="bottomRight" state="frozen"/>
      <selection pane="topRight" activeCell="D1" sqref="D1"/>
      <selection pane="bottomLeft" activeCell="A3" sqref="A3"/>
      <selection pane="bottomRight" activeCell="F26" sqref="F26"/>
    </sheetView>
  </sheetViews>
  <sheetFormatPr defaultRowHeight="15" x14ac:dyDescent="0.25"/>
  <cols>
    <col min="1" max="1" width="7.5703125" customWidth="1"/>
    <col min="2" max="2" width="22.42578125" customWidth="1"/>
    <col min="3" max="3" width="20.85546875" customWidth="1"/>
    <col min="4" max="4" width="11" customWidth="1"/>
    <col min="5" max="5" width="16.85546875" style="2" customWidth="1"/>
    <col min="6" max="6" width="18.85546875" style="2" customWidth="1"/>
    <col min="7" max="9" width="17.85546875" style="2" customWidth="1"/>
    <col min="10" max="10" width="16.85546875" style="2" customWidth="1"/>
    <col min="11" max="11" width="13.140625" style="3" customWidth="1"/>
    <col min="12" max="12" width="16.85546875" style="2" customWidth="1"/>
    <col min="13" max="13" width="17.140625" style="2" customWidth="1"/>
    <col min="14" max="14" width="19.28515625" style="2" customWidth="1"/>
    <col min="15" max="15" width="12.28515625" customWidth="1"/>
    <col min="16" max="16" width="11.85546875" customWidth="1"/>
    <col min="17" max="17" width="13.5703125" customWidth="1"/>
    <col min="18" max="19" width="12.85546875" customWidth="1"/>
    <col min="20" max="20" width="13.5703125" customWidth="1"/>
    <col min="21" max="22" width="12.85546875" customWidth="1"/>
    <col min="23" max="23" width="13.5703125" customWidth="1"/>
    <col min="24" max="29" width="14.42578125" customWidth="1"/>
    <col min="30" max="30" width="3.7109375" customWidth="1"/>
    <col min="31" max="31" width="6.85546875" customWidth="1"/>
    <col min="32" max="32" width="7" customWidth="1"/>
    <col min="33" max="34" width="7.42578125" customWidth="1"/>
    <col min="35" max="35" width="5.5703125" customWidth="1"/>
    <col min="36" max="36" width="7.85546875" customWidth="1"/>
    <col min="37" max="37" width="7" customWidth="1"/>
    <col min="38" max="38" width="7.42578125" customWidth="1"/>
    <col min="39" max="39" width="5.5703125" customWidth="1"/>
    <col min="40" max="40" width="7.85546875" customWidth="1"/>
    <col min="41" max="41" width="7" customWidth="1"/>
    <col min="42" max="42" width="7.42578125" customWidth="1"/>
    <col min="43" max="43" width="5.5703125" customWidth="1"/>
    <col min="44" max="44" width="7.85546875" customWidth="1"/>
    <col min="45" max="45" width="7.140625" customWidth="1"/>
    <col min="46" max="46" width="7.42578125" customWidth="1"/>
    <col min="47" max="47" width="5.5703125" customWidth="1"/>
    <col min="48" max="48" width="7.85546875" customWidth="1"/>
    <col min="49" max="49" width="7.140625" customWidth="1"/>
    <col min="50" max="50" width="7.42578125" customWidth="1"/>
    <col min="51" max="51" width="5.5703125" customWidth="1"/>
    <col min="52" max="52" width="7.85546875" customWidth="1"/>
    <col min="53" max="53" width="7.140625" customWidth="1"/>
    <col min="54" max="54" width="7.42578125" customWidth="1"/>
    <col min="55" max="55" width="5.5703125" customWidth="1"/>
    <col min="56" max="56" width="7.85546875" customWidth="1"/>
    <col min="57" max="57" width="7.140625" customWidth="1"/>
    <col min="58" max="58" width="7.42578125" customWidth="1"/>
    <col min="59" max="59" width="5.5703125" customWidth="1"/>
    <col min="60" max="60" width="7.85546875" customWidth="1"/>
    <col min="61" max="61" width="7.140625" customWidth="1"/>
    <col min="62" max="62" width="7.42578125" customWidth="1"/>
    <col min="63" max="63" width="5.5703125" customWidth="1"/>
    <col min="64" max="64" width="7.85546875" customWidth="1"/>
    <col min="65" max="65" width="7.140625" customWidth="1"/>
    <col min="66" max="66" width="7.42578125" customWidth="1"/>
    <col min="67" max="67" width="5.5703125" customWidth="1"/>
    <col min="68" max="68" width="7.85546875" customWidth="1"/>
    <col min="69" max="69" width="7.140625" customWidth="1"/>
    <col min="70" max="70" width="7.85546875" customWidth="1"/>
    <col min="71" max="71" width="5.5703125" customWidth="1"/>
    <col min="72" max="72" width="7.85546875" customWidth="1"/>
    <col min="73" max="73" width="7.140625" customWidth="1"/>
    <col min="74" max="74" width="7.85546875" customWidth="1"/>
    <col min="75" max="75" width="5.5703125" customWidth="1"/>
    <col min="76" max="76" width="7.85546875" customWidth="1"/>
    <col min="77" max="77" width="7.140625" customWidth="1"/>
    <col min="78" max="78" width="7.85546875" customWidth="1"/>
    <col min="79" max="79" width="5.5703125" customWidth="1"/>
    <col min="80" max="80" width="7.85546875" customWidth="1"/>
    <col min="81" max="81" width="7.140625" customWidth="1"/>
    <col min="82" max="82" width="7.85546875" customWidth="1"/>
    <col min="83" max="83" width="5.5703125" customWidth="1"/>
    <col min="84" max="84" width="7.85546875" customWidth="1"/>
    <col min="85" max="85" width="7.140625" customWidth="1"/>
    <col min="86" max="86" width="7.85546875" customWidth="1"/>
    <col min="87" max="87" width="5.5703125" customWidth="1"/>
    <col min="88" max="88" width="7.85546875" customWidth="1"/>
    <col min="89" max="89" width="7.140625" customWidth="1"/>
    <col min="90" max="90" width="7.85546875" bestFit="1" customWidth="1"/>
    <col min="91" max="91" width="5.5703125" customWidth="1"/>
    <col min="92" max="92" width="3.28515625" customWidth="1"/>
    <col min="93" max="96" width="17.85546875" customWidth="1"/>
    <col min="97" max="100" width="11.85546875" customWidth="1"/>
    <col min="101" max="101" width="3.5703125" customWidth="1"/>
    <col min="102" max="102" width="11.7109375" bestFit="1" customWidth="1"/>
  </cols>
  <sheetData>
    <row r="1" spans="1:100" ht="21" x14ac:dyDescent="0.35">
      <c r="A1" s="62" t="s">
        <v>117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3" spans="1:100" s="61" customFormat="1" x14ac:dyDescent="0.25">
      <c r="A3" s="56" t="s">
        <v>118</v>
      </c>
      <c r="B3" s="56"/>
      <c r="C3" s="56"/>
      <c r="D3" s="56"/>
      <c r="E3" s="56"/>
      <c r="F3" s="56"/>
      <c r="G3" s="56"/>
      <c r="H3" s="57" t="s">
        <v>119</v>
      </c>
      <c r="I3" s="57"/>
      <c r="J3" s="57"/>
      <c r="K3" s="58" t="s">
        <v>120</v>
      </c>
      <c r="L3" s="58"/>
      <c r="M3" s="59" t="s">
        <v>121</v>
      </c>
      <c r="N3" s="60" t="s">
        <v>144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E3" s="57" t="s">
        <v>164</v>
      </c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O3" s="75" t="s">
        <v>147</v>
      </c>
      <c r="CP3" s="55"/>
      <c r="CQ3" s="55"/>
      <c r="CR3" s="76"/>
    </row>
    <row r="4" spans="1:100" s="74" customFormat="1" x14ac:dyDescent="0.25">
      <c r="A4" s="71" t="s">
        <v>122</v>
      </c>
      <c r="B4" s="71" t="s">
        <v>123</v>
      </c>
      <c r="C4" s="71" t="s">
        <v>124</v>
      </c>
      <c r="D4" s="71" t="s">
        <v>125</v>
      </c>
      <c r="E4" s="71" t="s">
        <v>126</v>
      </c>
      <c r="F4" s="71" t="s">
        <v>127</v>
      </c>
      <c r="G4" s="71" t="s">
        <v>128</v>
      </c>
      <c r="H4" s="71" t="s">
        <v>129</v>
      </c>
      <c r="I4" s="71" t="s">
        <v>130</v>
      </c>
      <c r="J4" s="72" t="s">
        <v>131</v>
      </c>
      <c r="K4" s="73" t="s">
        <v>132</v>
      </c>
      <c r="L4" s="72" t="s">
        <v>133</v>
      </c>
      <c r="M4" s="72" t="s">
        <v>134</v>
      </c>
      <c r="N4" s="72" t="s">
        <v>135</v>
      </c>
      <c r="O4" s="72" t="s">
        <v>136</v>
      </c>
      <c r="P4" s="72" t="s">
        <v>137</v>
      </c>
      <c r="Q4" s="72" t="s">
        <v>138</v>
      </c>
      <c r="AE4" s="74" t="s">
        <v>139</v>
      </c>
      <c r="AF4" s="74" t="s">
        <v>140</v>
      </c>
      <c r="AG4" s="74" t="s">
        <v>141</v>
      </c>
      <c r="AH4" s="74" t="s">
        <v>142</v>
      </c>
      <c r="AI4" s="74" t="s">
        <v>143</v>
      </c>
      <c r="CO4" s="74" t="s">
        <v>148</v>
      </c>
      <c r="CP4" s="74" t="s">
        <v>149</v>
      </c>
      <c r="CQ4" s="74" t="s">
        <v>150</v>
      </c>
      <c r="CR4" s="74" t="s">
        <v>151</v>
      </c>
    </row>
    <row r="5" spans="1:100" s="90" customFormat="1" ht="30" x14ac:dyDescent="0.25">
      <c r="A5" s="81"/>
      <c r="B5" s="81" t="s">
        <v>165</v>
      </c>
      <c r="C5" s="81" t="s">
        <v>166</v>
      </c>
      <c r="D5" s="93" t="s">
        <v>167</v>
      </c>
      <c r="E5" s="81" t="s">
        <v>168</v>
      </c>
      <c r="F5" s="81" t="s">
        <v>169</v>
      </c>
      <c r="G5" s="81" t="s">
        <v>170</v>
      </c>
      <c r="H5" s="81" t="s">
        <v>171</v>
      </c>
      <c r="I5" s="81" t="s">
        <v>172</v>
      </c>
      <c r="J5" s="82" t="s">
        <v>173</v>
      </c>
      <c r="K5" s="83" t="s">
        <v>174</v>
      </c>
      <c r="L5" s="82" t="s">
        <v>175</v>
      </c>
      <c r="M5" s="91" t="s">
        <v>176</v>
      </c>
      <c r="N5" s="92" t="s">
        <v>177</v>
      </c>
      <c r="O5" s="84"/>
      <c r="P5" s="85"/>
      <c r="Q5" s="86"/>
      <c r="R5" s="87"/>
      <c r="S5" s="88"/>
      <c r="T5" s="89"/>
      <c r="U5" s="87"/>
      <c r="V5" s="88"/>
      <c r="W5" s="89"/>
      <c r="X5" s="87"/>
      <c r="Y5" s="88"/>
      <c r="Z5" s="89"/>
      <c r="AA5" s="87"/>
      <c r="AB5" s="88"/>
      <c r="AC5" s="89"/>
      <c r="AE5" s="87"/>
      <c r="AF5" s="88"/>
      <c r="AG5" s="88"/>
      <c r="AH5" s="88"/>
      <c r="AI5" s="89" t="s">
        <v>178</v>
      </c>
      <c r="AJ5" s="87"/>
      <c r="AK5" s="88"/>
      <c r="AL5" s="88"/>
      <c r="AM5" s="89"/>
      <c r="AN5" s="87"/>
      <c r="AO5" s="88"/>
      <c r="AP5" s="88"/>
      <c r="AQ5" s="89"/>
      <c r="AR5" s="87"/>
      <c r="AS5" s="88"/>
      <c r="AT5" s="88"/>
      <c r="AU5" s="89"/>
      <c r="AV5" s="87"/>
      <c r="AW5" s="88"/>
      <c r="AX5" s="88"/>
      <c r="AY5" s="89"/>
      <c r="AZ5" s="87"/>
      <c r="BA5" s="88"/>
      <c r="BB5" s="88"/>
      <c r="BC5" s="89"/>
      <c r="BD5" s="87"/>
      <c r="BE5" s="88"/>
      <c r="BF5" s="88"/>
      <c r="BG5" s="89"/>
      <c r="BH5" s="87"/>
      <c r="BI5" s="88"/>
      <c r="BJ5" s="88"/>
      <c r="BK5" s="89"/>
      <c r="BL5" s="87"/>
      <c r="BM5" s="88"/>
      <c r="BN5" s="88"/>
      <c r="BO5" s="89"/>
      <c r="BP5" s="87"/>
      <c r="BQ5" s="88"/>
      <c r="BR5" s="88"/>
      <c r="BS5" s="89"/>
      <c r="BT5" s="87"/>
      <c r="BU5" s="88"/>
      <c r="BV5" s="88"/>
      <c r="BW5" s="89"/>
      <c r="BX5" s="87"/>
      <c r="BY5" s="88"/>
      <c r="BZ5" s="88"/>
      <c r="CA5" s="89"/>
      <c r="CB5" s="87"/>
      <c r="CC5" s="88"/>
      <c r="CD5" s="88"/>
      <c r="CE5" s="89"/>
      <c r="CF5" s="87"/>
      <c r="CG5" s="88"/>
      <c r="CH5" s="88"/>
      <c r="CI5" s="89"/>
      <c r="CJ5" s="87"/>
      <c r="CK5" s="88"/>
      <c r="CL5" s="88"/>
      <c r="CM5" s="89"/>
    </row>
    <row r="6" spans="1:100" s="6" customFormat="1" ht="14.45" customHeight="1" x14ac:dyDescent="0.25">
      <c r="A6" s="31"/>
      <c r="B6" s="31"/>
      <c r="C6" s="31"/>
      <c r="D6" s="31"/>
      <c r="E6" s="31"/>
      <c r="F6" s="44"/>
      <c r="G6" s="31"/>
      <c r="H6" s="31"/>
      <c r="I6" s="31"/>
      <c r="J6" s="31"/>
      <c r="K6" s="31"/>
      <c r="L6" s="43"/>
      <c r="M6" s="31"/>
      <c r="N6" s="64" t="s">
        <v>62</v>
      </c>
      <c r="O6" s="65" t="s">
        <v>71</v>
      </c>
      <c r="P6" s="66"/>
      <c r="Q6" s="67"/>
      <c r="R6" s="65" t="s">
        <v>75</v>
      </c>
      <c r="S6" s="66"/>
      <c r="T6" s="67"/>
      <c r="U6" s="65" t="s">
        <v>81</v>
      </c>
      <c r="V6" s="66"/>
      <c r="W6" s="67"/>
      <c r="X6" s="65" t="s">
        <v>85</v>
      </c>
      <c r="Y6" s="66"/>
      <c r="Z6" s="67"/>
      <c r="AA6" s="65" t="s">
        <v>91</v>
      </c>
      <c r="AB6" s="66"/>
      <c r="AC6" s="67"/>
      <c r="AE6" s="68" t="s">
        <v>70</v>
      </c>
      <c r="AF6" s="69"/>
      <c r="AG6" s="69"/>
      <c r="AH6" s="69"/>
      <c r="AI6" s="70"/>
      <c r="AJ6" s="68" t="s">
        <v>72</v>
      </c>
      <c r="AK6" s="69"/>
      <c r="AL6" s="69"/>
      <c r="AM6" s="70"/>
      <c r="AN6" s="68" t="s">
        <v>73</v>
      </c>
      <c r="AO6" s="69"/>
      <c r="AP6" s="69"/>
      <c r="AQ6" s="70"/>
      <c r="AR6" s="68" t="s">
        <v>76</v>
      </c>
      <c r="AS6" s="69"/>
      <c r="AT6" s="69"/>
      <c r="AU6" s="70"/>
      <c r="AV6" s="68" t="s">
        <v>77</v>
      </c>
      <c r="AW6" s="69"/>
      <c r="AX6" s="69"/>
      <c r="AY6" s="70"/>
      <c r="AZ6" s="68" t="s">
        <v>78</v>
      </c>
      <c r="BA6" s="69"/>
      <c r="BB6" s="69"/>
      <c r="BC6" s="70"/>
      <c r="BD6" s="68" t="s">
        <v>80</v>
      </c>
      <c r="BE6" s="69"/>
      <c r="BF6" s="69"/>
      <c r="BG6" s="70"/>
      <c r="BH6" s="68" t="s">
        <v>82</v>
      </c>
      <c r="BI6" s="69"/>
      <c r="BJ6" s="69"/>
      <c r="BK6" s="70"/>
      <c r="BL6" s="68" t="s">
        <v>83</v>
      </c>
      <c r="BM6" s="69"/>
      <c r="BN6" s="69"/>
      <c r="BO6" s="70"/>
      <c r="BP6" s="68" t="s">
        <v>86</v>
      </c>
      <c r="BQ6" s="69"/>
      <c r="BR6" s="69"/>
      <c r="BS6" s="70"/>
      <c r="BT6" s="68" t="s">
        <v>87</v>
      </c>
      <c r="BU6" s="69"/>
      <c r="BV6" s="69"/>
      <c r="BW6" s="70"/>
      <c r="BX6" s="68" t="s">
        <v>89</v>
      </c>
      <c r="BY6" s="69"/>
      <c r="BZ6" s="69"/>
      <c r="CA6" s="70"/>
      <c r="CB6" s="68" t="s">
        <v>90</v>
      </c>
      <c r="CC6" s="69"/>
      <c r="CD6" s="69"/>
      <c r="CE6" s="70"/>
      <c r="CF6" s="68" t="s">
        <v>92</v>
      </c>
      <c r="CG6" s="69"/>
      <c r="CH6" s="69"/>
      <c r="CI6" s="70"/>
      <c r="CJ6" s="68" t="s">
        <v>93</v>
      </c>
      <c r="CK6" s="69"/>
      <c r="CL6" s="69"/>
      <c r="CM6" s="70"/>
      <c r="CO6" s="40"/>
      <c r="CP6" s="40"/>
      <c r="CQ6" s="18"/>
      <c r="CR6" s="40"/>
      <c r="CS6" s="18"/>
      <c r="CT6" s="18"/>
      <c r="CU6" s="18"/>
      <c r="CV6" s="18"/>
    </row>
    <row r="7" spans="1:100" s="7" customFormat="1" ht="42.95" customHeight="1" x14ac:dyDescent="0.25">
      <c r="A7" s="24" t="s">
        <v>55</v>
      </c>
      <c r="B7" s="24" t="s">
        <v>17</v>
      </c>
      <c r="C7" s="24" t="s">
        <v>107</v>
      </c>
      <c r="D7" s="24" t="s">
        <v>42</v>
      </c>
      <c r="E7" s="51" t="s">
        <v>18</v>
      </c>
      <c r="F7" s="52" t="s">
        <v>108</v>
      </c>
      <c r="G7" s="23" t="s">
        <v>19</v>
      </c>
      <c r="H7" s="53" t="s">
        <v>114</v>
      </c>
      <c r="I7" s="53" t="s">
        <v>115</v>
      </c>
      <c r="J7" s="23" t="s">
        <v>20</v>
      </c>
      <c r="K7" s="30" t="s">
        <v>50</v>
      </c>
      <c r="L7" s="23" t="s">
        <v>21</v>
      </c>
      <c r="M7" s="14" t="s">
        <v>56</v>
      </c>
      <c r="N7" s="42" t="s">
        <v>146</v>
      </c>
      <c r="O7" s="42" t="s">
        <v>32</v>
      </c>
      <c r="P7" s="42" t="s">
        <v>33</v>
      </c>
      <c r="Q7" s="42" t="s">
        <v>34</v>
      </c>
      <c r="R7" s="42" t="s">
        <v>35</v>
      </c>
      <c r="S7" s="42" t="s">
        <v>36</v>
      </c>
      <c r="T7" s="42" t="s">
        <v>37</v>
      </c>
      <c r="U7" s="42" t="s">
        <v>26</v>
      </c>
      <c r="V7" s="42" t="s">
        <v>27</v>
      </c>
      <c r="W7" s="42" t="s">
        <v>28</v>
      </c>
      <c r="X7" s="42" t="s">
        <v>29</v>
      </c>
      <c r="Y7" s="42" t="s">
        <v>30</v>
      </c>
      <c r="Z7" s="42" t="s">
        <v>31</v>
      </c>
      <c r="AA7" s="42" t="s">
        <v>32</v>
      </c>
      <c r="AB7" s="42" t="s">
        <v>33</v>
      </c>
      <c r="AC7" s="42" t="s">
        <v>34</v>
      </c>
      <c r="AE7" s="14" t="s">
        <v>51</v>
      </c>
      <c r="AF7" s="14" t="s">
        <v>52</v>
      </c>
      <c r="AG7" s="14" t="s">
        <v>53</v>
      </c>
      <c r="AH7" s="14" t="s">
        <v>54</v>
      </c>
      <c r="AI7" s="54" t="s">
        <v>116</v>
      </c>
      <c r="AJ7" s="14" t="s">
        <v>51</v>
      </c>
      <c r="AK7" s="14" t="s">
        <v>52</v>
      </c>
      <c r="AL7" s="14" t="s">
        <v>53</v>
      </c>
      <c r="AM7" s="14" t="s">
        <v>54</v>
      </c>
      <c r="AN7" s="14" t="s">
        <v>51</v>
      </c>
      <c r="AO7" s="14" t="s">
        <v>52</v>
      </c>
      <c r="AP7" s="14" t="s">
        <v>53</v>
      </c>
      <c r="AQ7" s="14" t="s">
        <v>54</v>
      </c>
      <c r="AR7" s="14" t="s">
        <v>51</v>
      </c>
      <c r="AS7" s="14" t="s">
        <v>52</v>
      </c>
      <c r="AT7" s="14" t="s">
        <v>53</v>
      </c>
      <c r="AU7" s="14" t="s">
        <v>54</v>
      </c>
      <c r="AV7" s="14" t="s">
        <v>51</v>
      </c>
      <c r="AW7" s="14" t="s">
        <v>52</v>
      </c>
      <c r="AX7" s="14" t="s">
        <v>53</v>
      </c>
      <c r="AY7" s="14" t="s">
        <v>54</v>
      </c>
      <c r="AZ7" s="14" t="s">
        <v>51</v>
      </c>
      <c r="BA7" s="14" t="s">
        <v>52</v>
      </c>
      <c r="BB7" s="14" t="s">
        <v>53</v>
      </c>
      <c r="BC7" s="14" t="s">
        <v>54</v>
      </c>
      <c r="BD7" s="14" t="s">
        <v>51</v>
      </c>
      <c r="BE7" s="14" t="s">
        <v>52</v>
      </c>
      <c r="BF7" s="14" t="s">
        <v>53</v>
      </c>
      <c r="BG7" s="14" t="s">
        <v>54</v>
      </c>
      <c r="BH7" s="14" t="s">
        <v>51</v>
      </c>
      <c r="BI7" s="14" t="s">
        <v>52</v>
      </c>
      <c r="BJ7" s="14" t="s">
        <v>53</v>
      </c>
      <c r="BK7" s="14" t="s">
        <v>54</v>
      </c>
      <c r="BL7" s="14" t="s">
        <v>51</v>
      </c>
      <c r="BM7" s="14" t="s">
        <v>52</v>
      </c>
      <c r="BN7" s="14" t="s">
        <v>53</v>
      </c>
      <c r="BO7" s="14" t="s">
        <v>54</v>
      </c>
      <c r="BP7" s="14" t="s">
        <v>51</v>
      </c>
      <c r="BQ7" s="14" t="s">
        <v>52</v>
      </c>
      <c r="BR7" s="14" t="s">
        <v>53</v>
      </c>
      <c r="BS7" s="14" t="s">
        <v>54</v>
      </c>
      <c r="BT7" s="14" t="s">
        <v>51</v>
      </c>
      <c r="BU7" s="14" t="s">
        <v>52</v>
      </c>
      <c r="BV7" s="14" t="s">
        <v>53</v>
      </c>
      <c r="BW7" s="14" t="s">
        <v>54</v>
      </c>
      <c r="BX7" s="14" t="s">
        <v>51</v>
      </c>
      <c r="BY7" s="14" t="s">
        <v>52</v>
      </c>
      <c r="BZ7" s="14" t="s">
        <v>53</v>
      </c>
      <c r="CA7" s="14" t="s">
        <v>54</v>
      </c>
      <c r="CB7" s="14" t="s">
        <v>51</v>
      </c>
      <c r="CC7" s="14" t="s">
        <v>52</v>
      </c>
      <c r="CD7" s="14" t="s">
        <v>53</v>
      </c>
      <c r="CE7" s="14" t="s">
        <v>54</v>
      </c>
      <c r="CF7" s="14" t="s">
        <v>51</v>
      </c>
      <c r="CG7" s="14" t="s">
        <v>52</v>
      </c>
      <c r="CH7" s="14" t="s">
        <v>53</v>
      </c>
      <c r="CI7" s="14" t="s">
        <v>54</v>
      </c>
      <c r="CJ7" s="14" t="s">
        <v>51</v>
      </c>
      <c r="CK7" s="14" t="s">
        <v>52</v>
      </c>
      <c r="CL7" s="14" t="s">
        <v>53</v>
      </c>
      <c r="CM7" s="14" t="s">
        <v>54</v>
      </c>
      <c r="CO7" s="7" t="s">
        <v>152</v>
      </c>
      <c r="CP7" s="7" t="s">
        <v>153</v>
      </c>
      <c r="CQ7" s="7" t="s">
        <v>154</v>
      </c>
      <c r="CR7" s="7" t="s">
        <v>155</v>
      </c>
    </row>
    <row r="8" spans="1:100" x14ac:dyDescent="0.25">
      <c r="A8" s="25">
        <v>1</v>
      </c>
      <c r="B8" s="25" t="s">
        <v>0</v>
      </c>
      <c r="C8" s="25" t="s">
        <v>1</v>
      </c>
      <c r="D8" s="17" t="s">
        <v>41</v>
      </c>
      <c r="E8" s="26">
        <v>293798.36</v>
      </c>
      <c r="F8" s="27">
        <v>0</v>
      </c>
      <c r="G8" s="28">
        <f t="shared" ref="G8:G14" si="0">F8+E8</f>
        <v>293798.36</v>
      </c>
      <c r="H8" s="28"/>
      <c r="I8" s="28"/>
      <c r="J8" s="27">
        <f>SUM(N8:AC8)</f>
        <v>4276</v>
      </c>
      <c r="K8" s="29">
        <f>J8/G8</f>
        <v>1.4554199689882545E-2</v>
      </c>
      <c r="L8" s="27">
        <f>G8-J8</f>
        <v>289522.36</v>
      </c>
      <c r="M8" s="38">
        <v>39797</v>
      </c>
      <c r="N8" s="28">
        <v>4276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"/>
      <c r="AE8" s="21">
        <v>0</v>
      </c>
      <c r="AF8" s="21">
        <v>0</v>
      </c>
      <c r="AG8" s="21">
        <v>0</v>
      </c>
      <c r="AH8" s="21"/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34"/>
      <c r="CO8" s="2">
        <f>IF(SUM(R8:AC8)&gt;0,G8,0)</f>
        <v>0</v>
      </c>
      <c r="CP8" s="2">
        <f>IF(SUM(R8:AC8)&gt;0,J8,0)</f>
        <v>0</v>
      </c>
      <c r="CQ8" s="2">
        <f>IF(SUM(AA8:AC8)&gt;0,G8,0)</f>
        <v>0</v>
      </c>
      <c r="CR8" s="2">
        <f>IF(SUM(AA8:AC8)&gt;0,J8,0)</f>
        <v>0</v>
      </c>
      <c r="CS8" s="2"/>
      <c r="CT8" s="2"/>
      <c r="CU8" s="2"/>
      <c r="CV8" s="2"/>
    </row>
    <row r="9" spans="1:100" x14ac:dyDescent="0.25">
      <c r="A9" s="1">
        <v>2</v>
      </c>
      <c r="B9" s="1" t="s">
        <v>11</v>
      </c>
      <c r="C9" s="1" t="s">
        <v>2</v>
      </c>
      <c r="D9" s="13" t="s">
        <v>41</v>
      </c>
      <c r="E9" s="10">
        <v>142042.35</v>
      </c>
      <c r="F9" s="10">
        <v>9650</v>
      </c>
      <c r="G9" s="28">
        <f t="shared" si="0"/>
        <v>151692.35</v>
      </c>
      <c r="H9" s="28"/>
      <c r="I9" s="28"/>
      <c r="J9" s="27">
        <f>SUM(N9:AC9)</f>
        <v>4919</v>
      </c>
      <c r="K9" s="29">
        <f>J9/G9</f>
        <v>3.2427475742843985E-2</v>
      </c>
      <c r="L9" s="27">
        <f>G9-J9</f>
        <v>146773.35</v>
      </c>
      <c r="M9" s="38">
        <v>40218</v>
      </c>
      <c r="N9" s="8">
        <v>4919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2"/>
      <c r="AE9" s="21">
        <v>0</v>
      </c>
      <c r="AF9" s="21">
        <v>0</v>
      </c>
      <c r="AG9" s="21">
        <v>0</v>
      </c>
      <c r="AH9" s="21"/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34"/>
      <c r="CO9" s="2">
        <f>IF(SUM(R9:AC9)&gt;0,G9,0)</f>
        <v>0</v>
      </c>
      <c r="CP9" s="2">
        <f>IF(SUM(R9:AC9)&gt;0,J9,0)</f>
        <v>0</v>
      </c>
      <c r="CQ9" s="2">
        <f>IF(SUM(AA9:AC9)&gt;0,G9,0)</f>
        <v>0</v>
      </c>
      <c r="CR9" s="2">
        <f>IF(SUM(AA9:AC9)&gt;0,J9,0)</f>
        <v>0</v>
      </c>
      <c r="CS9" s="2"/>
      <c r="CT9" s="2"/>
      <c r="CU9" s="2"/>
      <c r="CV9" s="2"/>
    </row>
    <row r="10" spans="1:100" x14ac:dyDescent="0.25">
      <c r="A10" s="1">
        <v>3</v>
      </c>
      <c r="B10" s="1" t="s">
        <v>3</v>
      </c>
      <c r="C10" s="1" t="s">
        <v>4</v>
      </c>
      <c r="D10" s="13" t="s">
        <v>41</v>
      </c>
      <c r="E10" s="10">
        <v>150958.5</v>
      </c>
      <c r="F10" s="10">
        <v>1300</v>
      </c>
      <c r="G10" s="28">
        <f t="shared" si="0"/>
        <v>152258.5</v>
      </c>
      <c r="H10" s="28"/>
      <c r="I10" s="28"/>
      <c r="J10" s="27">
        <f>SUM(N10:AC10)</f>
        <v>792</v>
      </c>
      <c r="K10" s="29">
        <f>J10/G10</f>
        <v>5.2016800375676887E-3</v>
      </c>
      <c r="L10" s="27">
        <f>G10-J10</f>
        <v>151466.5</v>
      </c>
      <c r="M10" s="38">
        <v>39665</v>
      </c>
      <c r="N10" s="8">
        <v>792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2"/>
      <c r="AE10" s="21">
        <v>0</v>
      </c>
      <c r="AF10" s="21">
        <v>0</v>
      </c>
      <c r="AG10" s="21">
        <v>0</v>
      </c>
      <c r="AH10" s="21"/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34"/>
      <c r="CO10" s="2">
        <f>IF(SUM(R10:AC10)&gt;0,G10,0)</f>
        <v>0</v>
      </c>
      <c r="CP10" s="2">
        <f>IF(SUM(R10:AC10)&gt;0,J10,0)</f>
        <v>0</v>
      </c>
      <c r="CQ10" s="2">
        <f>IF(SUM(AA10:AC10)&gt;0,G10,0)</f>
        <v>0</v>
      </c>
      <c r="CR10" s="2">
        <f>IF(SUM(AA10:AC10)&gt;0,J10,0)</f>
        <v>0</v>
      </c>
      <c r="CS10" s="2"/>
      <c r="CT10" s="2"/>
      <c r="CU10" s="2"/>
      <c r="CV10" s="2"/>
    </row>
    <row r="11" spans="1:100" x14ac:dyDescent="0.25">
      <c r="A11" s="1">
        <v>4</v>
      </c>
      <c r="B11" s="1" t="s">
        <v>5</v>
      </c>
      <c r="C11" s="1" t="s">
        <v>6</v>
      </c>
      <c r="D11" s="13" t="s">
        <v>41</v>
      </c>
      <c r="E11" s="10">
        <v>263179.65000000002</v>
      </c>
      <c r="F11" s="10">
        <v>6240</v>
      </c>
      <c r="G11" s="28">
        <f t="shared" si="0"/>
        <v>269419.65000000002</v>
      </c>
      <c r="H11" s="28"/>
      <c r="I11" s="28"/>
      <c r="J11" s="27">
        <f>SUM(N11:AC11)</f>
        <v>6294</v>
      </c>
      <c r="K11" s="29">
        <f>J11/G11</f>
        <v>2.3361324981307042E-2</v>
      </c>
      <c r="L11" s="27">
        <f>G11-J11</f>
        <v>263125.65000000002</v>
      </c>
      <c r="M11" s="38">
        <v>39903</v>
      </c>
      <c r="N11" s="8">
        <v>6294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2"/>
      <c r="AE11" s="21">
        <v>0</v>
      </c>
      <c r="AF11" s="21">
        <v>0</v>
      </c>
      <c r="AG11" s="21">
        <v>0</v>
      </c>
      <c r="AH11" s="21"/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34"/>
      <c r="CO11" s="2">
        <f>IF(SUM(R11:AC11)&gt;0,G11,0)</f>
        <v>0</v>
      </c>
      <c r="CP11" s="2">
        <f>IF(SUM(R11:AC11)&gt;0,J11,0)</f>
        <v>0</v>
      </c>
      <c r="CQ11" s="2">
        <f>IF(SUM(AA11:AC11)&gt;0,G11,0)</f>
        <v>0</v>
      </c>
      <c r="CR11" s="2">
        <f>IF(SUM(AA11:AC11)&gt;0,J11,0)</f>
        <v>0</v>
      </c>
      <c r="CS11" s="2"/>
      <c r="CT11" s="2"/>
      <c r="CU11" s="2"/>
      <c r="CV11" s="2"/>
    </row>
    <row r="12" spans="1:100" x14ac:dyDescent="0.25">
      <c r="A12" s="25">
        <v>5</v>
      </c>
      <c r="B12" s="1" t="s">
        <v>3</v>
      </c>
      <c r="C12" s="1" t="s">
        <v>57</v>
      </c>
      <c r="D12" s="13" t="s">
        <v>41</v>
      </c>
      <c r="E12" s="10">
        <v>245673</v>
      </c>
      <c r="F12" s="10">
        <v>10000</v>
      </c>
      <c r="G12" s="28">
        <f t="shared" si="0"/>
        <v>255673</v>
      </c>
      <c r="H12" s="28"/>
      <c r="I12" s="28"/>
      <c r="J12" s="27">
        <f>SUM(N12:AC12)</f>
        <v>9187</v>
      </c>
      <c r="K12" s="29">
        <f>J12/G12</f>
        <v>3.5932617053814835E-2</v>
      </c>
      <c r="L12" s="27">
        <f>G12-J12</f>
        <v>246486</v>
      </c>
      <c r="M12" s="38">
        <v>40138</v>
      </c>
      <c r="N12" s="8">
        <v>9187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2"/>
      <c r="AE12" s="21">
        <v>0</v>
      </c>
      <c r="AF12" s="21">
        <v>0</v>
      </c>
      <c r="AG12" s="21">
        <v>0</v>
      </c>
      <c r="AH12" s="21"/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34"/>
      <c r="CO12" s="2">
        <f>IF(SUM(R12:AC12)&gt;0,G12,0)</f>
        <v>0</v>
      </c>
      <c r="CP12" s="2">
        <f>IF(SUM(R12:AC12)&gt;0,J12,0)</f>
        <v>0</v>
      </c>
      <c r="CQ12" s="2">
        <f>IF(SUM(AA12:AC12)&gt;0,G12,0)</f>
        <v>0</v>
      </c>
      <c r="CR12" s="2">
        <f>IF(SUM(AA12:AC12)&gt;0,J12,0)</f>
        <v>0</v>
      </c>
      <c r="CS12" s="2"/>
      <c r="CT12" s="2"/>
      <c r="CU12" s="2"/>
      <c r="CV12" s="2"/>
    </row>
    <row r="13" spans="1:100" ht="14.45" customHeight="1" x14ac:dyDescent="0.25">
      <c r="A13" s="1">
        <v>6</v>
      </c>
      <c r="B13" s="1" t="s">
        <v>7</v>
      </c>
      <c r="C13" s="1" t="s">
        <v>63</v>
      </c>
      <c r="D13" s="13" t="s">
        <v>41</v>
      </c>
      <c r="E13" s="10">
        <v>174338</v>
      </c>
      <c r="F13" s="5">
        <v>0</v>
      </c>
      <c r="G13" s="28">
        <f t="shared" si="0"/>
        <v>174338</v>
      </c>
      <c r="H13" s="28"/>
      <c r="I13" s="28"/>
      <c r="J13" s="27">
        <f>SUM(N13:AC13)</f>
        <v>2104</v>
      </c>
      <c r="K13" s="29">
        <f>J13/G13</f>
        <v>1.2068510594362675E-2</v>
      </c>
      <c r="L13" s="27">
        <f>G13-J13</f>
        <v>172234</v>
      </c>
      <c r="M13" s="38">
        <v>40301</v>
      </c>
      <c r="N13" s="8">
        <v>2104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2"/>
      <c r="AE13" s="21">
        <v>0</v>
      </c>
      <c r="AF13" s="21">
        <v>0</v>
      </c>
      <c r="AG13" s="21">
        <v>0</v>
      </c>
      <c r="AH13" s="21"/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34"/>
      <c r="CO13" s="2">
        <f>IF(SUM(R13:AC13)&gt;0,G13,0)</f>
        <v>0</v>
      </c>
      <c r="CP13" s="2">
        <f>IF(SUM(R13:AC13)&gt;0,J13,0)</f>
        <v>0</v>
      </c>
      <c r="CQ13" s="2">
        <f>IF(SUM(AA13:AC13)&gt;0,G13,0)</f>
        <v>0</v>
      </c>
      <c r="CR13" s="2">
        <f>IF(SUM(AA13:AC13)&gt;0,J13,0)</f>
        <v>0</v>
      </c>
      <c r="CS13" s="2"/>
      <c r="CT13" s="2"/>
      <c r="CU13" s="2"/>
      <c r="CV13" s="2"/>
    </row>
    <row r="14" spans="1:100" ht="14.45" customHeight="1" x14ac:dyDescent="0.25">
      <c r="A14" s="25">
        <v>7</v>
      </c>
      <c r="B14" s="1" t="s">
        <v>7</v>
      </c>
      <c r="C14" s="1" t="s">
        <v>8</v>
      </c>
      <c r="D14" s="13" t="s">
        <v>41</v>
      </c>
      <c r="E14" s="10">
        <v>134225.04</v>
      </c>
      <c r="F14" s="5">
        <v>0</v>
      </c>
      <c r="G14" s="28">
        <f t="shared" si="0"/>
        <v>134225.04</v>
      </c>
      <c r="H14" s="28"/>
      <c r="I14" s="28"/>
      <c r="J14" s="27">
        <f>SUM(N14:AC14)</f>
        <v>2608</v>
      </c>
      <c r="K14" s="29">
        <f>J14/G14</f>
        <v>1.9430055673665656E-2</v>
      </c>
      <c r="L14" s="27">
        <f>G14-J14</f>
        <v>131617.04</v>
      </c>
      <c r="M14" s="38">
        <v>40298</v>
      </c>
      <c r="N14" s="8">
        <v>2608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2"/>
      <c r="AE14" s="21">
        <v>0</v>
      </c>
      <c r="AF14" s="21">
        <v>0</v>
      </c>
      <c r="AG14" s="21">
        <v>0</v>
      </c>
      <c r="AH14" s="21"/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34"/>
      <c r="CO14" s="2">
        <f>IF(SUM(R14:AC14)&gt;0,G14,0)</f>
        <v>0</v>
      </c>
      <c r="CP14" s="2">
        <f>IF(SUM(R14:AC14)&gt;0,J14,0)</f>
        <v>0</v>
      </c>
      <c r="CQ14" s="2">
        <f>IF(SUM(AA14:AC14)&gt;0,G14,0)</f>
        <v>0</v>
      </c>
      <c r="CR14" s="2">
        <f>IF(SUM(AA14:AC14)&gt;0,J14,0)</f>
        <v>0</v>
      </c>
      <c r="CS14" s="2"/>
      <c r="CT14" s="2"/>
      <c r="CU14" s="2"/>
      <c r="CV14" s="2"/>
    </row>
    <row r="15" spans="1:100" x14ac:dyDescent="0.25">
      <c r="A15" s="25">
        <v>8</v>
      </c>
      <c r="B15" s="1" t="s">
        <v>10</v>
      </c>
      <c r="C15" s="1" t="s">
        <v>69</v>
      </c>
      <c r="D15" s="13" t="s">
        <v>43</v>
      </c>
      <c r="E15" s="9">
        <v>556139.85</v>
      </c>
      <c r="F15" s="9">
        <v>199926</v>
      </c>
      <c r="G15" s="28">
        <f t="shared" ref="G15" si="1">F15+E15</f>
        <v>756065.85</v>
      </c>
      <c r="H15" s="28"/>
      <c r="I15" s="28"/>
      <c r="J15" s="27">
        <f>SUM(N15:AC15)</f>
        <v>20282.079999999998</v>
      </c>
      <c r="K15" s="29">
        <f>J15/G15</f>
        <v>2.6825811534802159E-2</v>
      </c>
      <c r="L15" s="27">
        <f>G15-J15</f>
        <v>735783.77</v>
      </c>
      <c r="M15" s="38"/>
      <c r="N15" s="8">
        <v>0</v>
      </c>
      <c r="O15" s="5">
        <v>10422.5</v>
      </c>
      <c r="P15" s="5">
        <v>2508</v>
      </c>
      <c r="Q15" s="5">
        <v>5247</v>
      </c>
      <c r="R15" s="5">
        <v>1265</v>
      </c>
      <c r="S15" s="5">
        <v>0</v>
      </c>
      <c r="T15" s="5">
        <v>0</v>
      </c>
      <c r="U15" s="5">
        <v>176</v>
      </c>
      <c r="V15" s="5">
        <v>0</v>
      </c>
      <c r="W15" s="5">
        <v>44</v>
      </c>
      <c r="X15" s="5">
        <v>44.8</v>
      </c>
      <c r="Y15" s="5">
        <v>0</v>
      </c>
      <c r="Z15" s="5">
        <v>217.5</v>
      </c>
      <c r="AA15" s="5">
        <v>0</v>
      </c>
      <c r="AB15" s="5">
        <v>99.28</v>
      </c>
      <c r="AC15" s="5">
        <v>258</v>
      </c>
      <c r="AD15" s="2"/>
      <c r="AE15" s="21">
        <v>1745</v>
      </c>
      <c r="AF15" s="21">
        <v>113</v>
      </c>
      <c r="AG15" s="21">
        <v>17</v>
      </c>
      <c r="AH15" s="21"/>
      <c r="AI15" s="21">
        <v>0</v>
      </c>
      <c r="AJ15" s="21">
        <v>546</v>
      </c>
      <c r="AK15" s="21">
        <v>148</v>
      </c>
      <c r="AL15" s="21">
        <v>86</v>
      </c>
      <c r="AM15" s="21">
        <v>0</v>
      </c>
      <c r="AN15" s="21">
        <v>1103</v>
      </c>
      <c r="AO15" s="21">
        <v>203</v>
      </c>
      <c r="AP15" s="21">
        <v>152</v>
      </c>
      <c r="AQ15" s="21">
        <v>0</v>
      </c>
      <c r="AR15" s="21">
        <v>378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57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36</v>
      </c>
      <c r="BM15" s="21">
        <v>0</v>
      </c>
      <c r="BN15" s="21">
        <v>0</v>
      </c>
      <c r="BO15" s="21">
        <v>0</v>
      </c>
      <c r="BP15" s="21">
        <v>13</v>
      </c>
      <c r="BQ15" s="21">
        <v>11</v>
      </c>
      <c r="BR15" s="21">
        <v>8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118</v>
      </c>
      <c r="BY15" s="21">
        <v>24</v>
      </c>
      <c r="BZ15" s="21">
        <v>3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5</v>
      </c>
      <c r="CG15" s="21">
        <v>9</v>
      </c>
      <c r="CH15" s="21">
        <v>0</v>
      </c>
      <c r="CI15" s="21">
        <v>0</v>
      </c>
      <c r="CJ15" s="21">
        <v>101</v>
      </c>
      <c r="CK15" s="21">
        <v>43</v>
      </c>
      <c r="CL15" s="21">
        <v>28</v>
      </c>
      <c r="CM15" s="21">
        <v>0</v>
      </c>
      <c r="CN15" s="34"/>
      <c r="CO15" s="2">
        <f>IF(SUM(R15:AC15)&gt;0,G15,0)</f>
        <v>756065.85</v>
      </c>
      <c r="CP15" s="2">
        <f>IF(SUM(R15:AC15)&gt;0,J15,0)</f>
        <v>20282.079999999998</v>
      </c>
      <c r="CQ15" s="2">
        <f>IF(SUM(AA15:AC15)&gt;0,G15,0)</f>
        <v>756065.85</v>
      </c>
      <c r="CR15" s="2">
        <f>IF(SUM(AA15:AC15)&gt;0,J15,0)</f>
        <v>20282.079999999998</v>
      </c>
      <c r="CS15" s="2"/>
      <c r="CT15" s="2"/>
      <c r="CU15" s="2"/>
      <c r="CV15" s="2"/>
    </row>
    <row r="16" spans="1:100" x14ac:dyDescent="0.25">
      <c r="A16" s="1">
        <v>9</v>
      </c>
      <c r="B16" s="1" t="s">
        <v>12</v>
      </c>
      <c r="C16" s="1" t="s">
        <v>13</v>
      </c>
      <c r="D16" s="13" t="s">
        <v>40</v>
      </c>
      <c r="E16" s="5">
        <v>0</v>
      </c>
      <c r="F16" s="5">
        <v>212950</v>
      </c>
      <c r="G16" s="28">
        <f t="shared" ref="G16:G19" si="2">F16+E16</f>
        <v>212950</v>
      </c>
      <c r="H16" s="28"/>
      <c r="I16" s="28"/>
      <c r="J16" s="27">
        <f>SUM(N16:AC16)</f>
        <v>0</v>
      </c>
      <c r="K16" s="29">
        <f>J16/G16</f>
        <v>0</v>
      </c>
      <c r="L16" s="27">
        <f>G16-J16</f>
        <v>212950</v>
      </c>
      <c r="M16" s="38">
        <v>44433</v>
      </c>
      <c r="N16" s="8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E16" s="21">
        <v>0</v>
      </c>
      <c r="AF16" s="21">
        <v>0</v>
      </c>
      <c r="AG16" s="21">
        <v>0</v>
      </c>
      <c r="AH16" s="21"/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34"/>
      <c r="CO16" s="2">
        <f>IF(SUM(R16:AC16)&gt;0,G16,0)</f>
        <v>0</v>
      </c>
      <c r="CP16" s="2">
        <f>IF(SUM(R16:AC16)&gt;0,J16,0)</f>
        <v>0</v>
      </c>
      <c r="CQ16" s="2">
        <f>IF(SUM(AA16:AC16)&gt;0,G16,0)</f>
        <v>0</v>
      </c>
      <c r="CR16" s="2">
        <f>IF(SUM(AA16:AC16)&gt;0,J16,0)</f>
        <v>0</v>
      </c>
      <c r="CS16" s="2"/>
      <c r="CT16" s="2"/>
      <c r="CU16" s="2"/>
      <c r="CV16" s="2"/>
    </row>
    <row r="17" spans="1:102" x14ac:dyDescent="0.25">
      <c r="A17" s="1">
        <v>10</v>
      </c>
      <c r="B17" s="1" t="s">
        <v>39</v>
      </c>
      <c r="C17" s="1" t="s">
        <v>14</v>
      </c>
      <c r="D17" s="13" t="s">
        <v>43</v>
      </c>
      <c r="E17" s="9">
        <v>978376.09000000008</v>
      </c>
      <c r="F17" s="9">
        <v>20520</v>
      </c>
      <c r="G17" s="28">
        <f t="shared" si="2"/>
        <v>998896.09000000008</v>
      </c>
      <c r="H17" s="28"/>
      <c r="I17" s="28"/>
      <c r="J17" s="27">
        <f>SUM(N17:AC17)</f>
        <v>148120.13500000001</v>
      </c>
      <c r="K17" s="29">
        <f>J17/G17</f>
        <v>0.14828382699946296</v>
      </c>
      <c r="L17" s="27">
        <f>G17-J17</f>
        <v>850775.95500000007</v>
      </c>
      <c r="M17" s="38"/>
      <c r="N17" s="8">
        <v>440</v>
      </c>
      <c r="O17" s="5">
        <v>1496</v>
      </c>
      <c r="P17" s="5">
        <v>5813.5</v>
      </c>
      <c r="Q17" s="5">
        <v>10180.5</v>
      </c>
      <c r="R17" s="5">
        <v>6897</v>
      </c>
      <c r="S17" s="5">
        <v>7870.5</v>
      </c>
      <c r="T17" s="5">
        <v>16131.5</v>
      </c>
      <c r="U17" s="5">
        <v>8932</v>
      </c>
      <c r="V17" s="5">
        <v>6704.5</v>
      </c>
      <c r="W17" s="5">
        <v>2354</v>
      </c>
      <c r="X17" s="5">
        <v>11900</v>
      </c>
      <c r="Y17" s="5">
        <v>20460</v>
      </c>
      <c r="Z17" s="5">
        <v>6255</v>
      </c>
      <c r="AA17" s="5">
        <v>9483</v>
      </c>
      <c r="AB17" s="5">
        <v>11814</v>
      </c>
      <c r="AC17" s="5">
        <v>21388.635000000002</v>
      </c>
      <c r="AE17" s="21">
        <v>2023</v>
      </c>
      <c r="AF17" s="21">
        <v>447</v>
      </c>
      <c r="AG17" s="21">
        <v>2544</v>
      </c>
      <c r="AH17" s="21"/>
      <c r="AI17" s="21">
        <v>0</v>
      </c>
      <c r="AJ17" s="39">
        <v>1528</v>
      </c>
      <c r="AK17" s="39">
        <v>1173</v>
      </c>
      <c r="AL17" s="39">
        <v>1899</v>
      </c>
      <c r="AM17" s="39">
        <v>0</v>
      </c>
      <c r="AN17" s="39">
        <v>2310</v>
      </c>
      <c r="AO17" s="39">
        <v>1376</v>
      </c>
      <c r="AP17" s="39">
        <v>2645</v>
      </c>
      <c r="AQ17" s="39">
        <v>0</v>
      </c>
      <c r="AR17" s="39">
        <v>2024</v>
      </c>
      <c r="AS17" s="39">
        <v>1210</v>
      </c>
      <c r="AT17" s="39">
        <v>2331</v>
      </c>
      <c r="AU17" s="39">
        <v>0</v>
      </c>
      <c r="AV17" s="39">
        <v>1933</v>
      </c>
      <c r="AW17" s="39">
        <v>1173</v>
      </c>
      <c r="AX17" s="39">
        <v>2494</v>
      </c>
      <c r="AY17" s="39">
        <v>0</v>
      </c>
      <c r="AZ17" s="39">
        <v>4091</v>
      </c>
      <c r="BA17" s="39">
        <v>2117</v>
      </c>
      <c r="BB17" s="39">
        <v>5526</v>
      </c>
      <c r="BC17" s="39">
        <v>0</v>
      </c>
      <c r="BD17" s="39">
        <v>721</v>
      </c>
      <c r="BE17" s="39">
        <v>320</v>
      </c>
      <c r="BF17" s="39">
        <v>1359</v>
      </c>
      <c r="BG17" s="39">
        <v>0</v>
      </c>
      <c r="BH17" s="39">
        <v>1651</v>
      </c>
      <c r="BI17" s="39">
        <v>855</v>
      </c>
      <c r="BJ17" s="39">
        <v>2194</v>
      </c>
      <c r="BK17" s="39">
        <v>0</v>
      </c>
      <c r="BL17" s="39">
        <v>388</v>
      </c>
      <c r="BM17" s="39">
        <v>107</v>
      </c>
      <c r="BN17" s="39">
        <v>505</v>
      </c>
      <c r="BO17" s="39">
        <v>0</v>
      </c>
      <c r="BP17" s="39">
        <v>2715</v>
      </c>
      <c r="BQ17" s="39">
        <v>865</v>
      </c>
      <c r="BR17" s="39">
        <v>4920</v>
      </c>
      <c r="BS17" s="39">
        <v>0</v>
      </c>
      <c r="BT17" s="39">
        <v>5065</v>
      </c>
      <c r="BU17" s="39">
        <v>830</v>
      </c>
      <c r="BV17" s="39">
        <v>7745</v>
      </c>
      <c r="BW17" s="39">
        <v>0</v>
      </c>
      <c r="BX17" s="39">
        <v>1386</v>
      </c>
      <c r="BY17" s="39">
        <v>153</v>
      </c>
      <c r="BZ17" s="39">
        <v>2631</v>
      </c>
      <c r="CA17" s="39">
        <v>0</v>
      </c>
      <c r="CB17" s="39">
        <v>2043</v>
      </c>
      <c r="CC17" s="39">
        <v>831</v>
      </c>
      <c r="CD17" s="39">
        <v>3380</v>
      </c>
      <c r="CE17" s="39">
        <v>68</v>
      </c>
      <c r="CF17" s="39">
        <v>1963</v>
      </c>
      <c r="CG17" s="39">
        <v>1109</v>
      </c>
      <c r="CH17" s="39">
        <v>4725</v>
      </c>
      <c r="CI17" s="39">
        <v>79</v>
      </c>
      <c r="CJ17" s="39">
        <v>5228</v>
      </c>
      <c r="CK17" s="39">
        <v>608</v>
      </c>
      <c r="CL17" s="39">
        <v>8710</v>
      </c>
      <c r="CM17" s="39">
        <v>56</v>
      </c>
      <c r="CN17" s="34"/>
      <c r="CO17" s="2">
        <f>IF(SUM(R17:AC17)&gt;0,G17,0)</f>
        <v>998896.09000000008</v>
      </c>
      <c r="CP17" s="2">
        <f>IF(SUM(R17:AC17)&gt;0,J17,0)</f>
        <v>148120.13500000001</v>
      </c>
      <c r="CQ17" s="2">
        <f>IF(SUM(AA17:AC17)&gt;0,G17,0)</f>
        <v>998896.09000000008</v>
      </c>
      <c r="CR17" s="2">
        <f>IF(SUM(AA17:AC17)&gt;0,J17,0)</f>
        <v>148120.13500000001</v>
      </c>
      <c r="CS17" s="2"/>
      <c r="CT17" s="2"/>
      <c r="CU17" s="2"/>
      <c r="CV17" s="2"/>
      <c r="CX17" s="2"/>
    </row>
    <row r="18" spans="1:102" x14ac:dyDescent="0.25">
      <c r="A18" s="1">
        <v>11</v>
      </c>
      <c r="B18" s="1" t="s">
        <v>9</v>
      </c>
      <c r="C18" s="1" t="s">
        <v>15</v>
      </c>
      <c r="D18" s="13" t="s">
        <v>43</v>
      </c>
      <c r="E18" s="9">
        <v>1748084</v>
      </c>
      <c r="F18" s="5">
        <v>0</v>
      </c>
      <c r="G18" s="28">
        <f t="shared" si="2"/>
        <v>1748084</v>
      </c>
      <c r="H18" s="28"/>
      <c r="I18" s="28"/>
      <c r="J18" s="27">
        <f>SUM(N18:AC18)</f>
        <v>11430.95</v>
      </c>
      <c r="K18" s="29">
        <f>J18/G18</f>
        <v>6.5391308426826179E-3</v>
      </c>
      <c r="L18" s="27">
        <f>G18-J18</f>
        <v>1736653.05</v>
      </c>
      <c r="M18" s="38"/>
      <c r="N18" s="8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2491.5</v>
      </c>
      <c r="U18" s="5">
        <v>935</v>
      </c>
      <c r="V18" s="5">
        <v>0</v>
      </c>
      <c r="W18" s="5">
        <v>0</v>
      </c>
      <c r="X18" s="5">
        <v>819.06000000000006</v>
      </c>
      <c r="Y18" s="5">
        <v>0</v>
      </c>
      <c r="Z18" s="5">
        <v>4318.68</v>
      </c>
      <c r="AA18" s="5">
        <v>0</v>
      </c>
      <c r="AB18" s="5">
        <v>2866.71</v>
      </c>
      <c r="AC18" s="5">
        <v>0</v>
      </c>
      <c r="AE18" s="21">
        <v>0</v>
      </c>
      <c r="AF18" s="21">
        <v>0</v>
      </c>
      <c r="AG18" s="21">
        <v>0</v>
      </c>
      <c r="AH18" s="21"/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742</v>
      </c>
      <c r="BA18" s="21">
        <v>0</v>
      </c>
      <c r="BB18" s="21">
        <v>298</v>
      </c>
      <c r="BC18" s="21">
        <v>0</v>
      </c>
      <c r="BD18" s="21">
        <v>313</v>
      </c>
      <c r="BE18" s="21">
        <v>0</v>
      </c>
      <c r="BF18" s="21">
        <v>147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175</v>
      </c>
      <c r="BQ18" s="21">
        <v>0</v>
      </c>
      <c r="BR18" s="21">
        <v>85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354</v>
      </c>
      <c r="BY18" s="21">
        <v>0</v>
      </c>
      <c r="BZ18" s="21">
        <v>632</v>
      </c>
      <c r="CA18" s="21">
        <v>14</v>
      </c>
      <c r="CB18" s="21">
        <v>0</v>
      </c>
      <c r="CC18" s="21">
        <v>0</v>
      </c>
      <c r="CD18" s="21">
        <v>0</v>
      </c>
      <c r="CE18" s="21">
        <v>0</v>
      </c>
      <c r="CF18" s="21">
        <v>316</v>
      </c>
      <c r="CG18" s="21">
        <v>0</v>
      </c>
      <c r="CH18" s="21">
        <v>520</v>
      </c>
      <c r="CI18" s="21">
        <v>14</v>
      </c>
      <c r="CJ18" s="21">
        <v>0</v>
      </c>
      <c r="CK18" s="21">
        <v>0</v>
      </c>
      <c r="CL18" s="21">
        <v>0</v>
      </c>
      <c r="CM18" s="21">
        <v>0</v>
      </c>
      <c r="CN18" s="34"/>
      <c r="CO18" s="2">
        <f>IF(SUM(R18:AC18)&gt;0,G18,0)</f>
        <v>1748084</v>
      </c>
      <c r="CP18" s="2">
        <f>IF(SUM(R18:AC18)&gt;0,J18,0)</f>
        <v>11430.95</v>
      </c>
      <c r="CQ18" s="2">
        <f>IF(SUM(AA18:AC18)&gt;0,G18,0)</f>
        <v>1748084</v>
      </c>
      <c r="CR18" s="2">
        <f>IF(SUM(AA18:AC18)&gt;0,J18,0)</f>
        <v>11430.95</v>
      </c>
      <c r="CS18" s="2"/>
      <c r="CT18" s="2"/>
      <c r="CU18" s="2"/>
      <c r="CV18" s="2"/>
      <c r="CX18" s="2"/>
    </row>
    <row r="19" spans="1:102" x14ac:dyDescent="0.25">
      <c r="A19" s="25">
        <v>12</v>
      </c>
      <c r="B19" s="1" t="s">
        <v>16</v>
      </c>
      <c r="C19" s="1" t="s">
        <v>38</v>
      </c>
      <c r="D19" s="13" t="s">
        <v>43</v>
      </c>
      <c r="E19" s="9">
        <v>9361342.4100000001</v>
      </c>
      <c r="F19" s="9">
        <v>493092.4</v>
      </c>
      <c r="G19" s="28">
        <f t="shared" si="2"/>
        <v>9854434.8100000005</v>
      </c>
      <c r="H19" s="28"/>
      <c r="I19" s="28"/>
      <c r="J19" s="27">
        <f>SUM(N19:AC19)</f>
        <v>123765.97</v>
      </c>
      <c r="K19" s="29">
        <f>J19/G19</f>
        <v>1.2559418412754205E-2</v>
      </c>
      <c r="L19" s="27">
        <f>G19-J19</f>
        <v>9730668.8399999999</v>
      </c>
      <c r="M19" s="38"/>
      <c r="N19" s="8">
        <v>0</v>
      </c>
      <c r="O19" s="5">
        <v>14883</v>
      </c>
      <c r="P19" s="5">
        <v>22847</v>
      </c>
      <c r="Q19" s="5">
        <v>19063</v>
      </c>
      <c r="R19" s="5">
        <v>14520</v>
      </c>
      <c r="S19" s="5">
        <v>14751</v>
      </c>
      <c r="T19" s="5">
        <v>15807</v>
      </c>
      <c r="U19" s="5">
        <v>8360</v>
      </c>
      <c r="V19" s="5">
        <v>5390</v>
      </c>
      <c r="W19" s="5">
        <v>2970</v>
      </c>
      <c r="X19" s="5">
        <v>3226.6</v>
      </c>
      <c r="Y19" s="5">
        <v>0</v>
      </c>
      <c r="Z19" s="5">
        <v>1948.37</v>
      </c>
      <c r="AA19" s="5">
        <v>0</v>
      </c>
      <c r="AB19" s="5">
        <v>0</v>
      </c>
      <c r="AC19" s="5">
        <v>0</v>
      </c>
      <c r="AE19" s="21">
        <v>5041</v>
      </c>
      <c r="AF19" s="21">
        <v>5117</v>
      </c>
      <c r="AG19" s="21">
        <v>267</v>
      </c>
      <c r="AH19" s="21"/>
      <c r="AI19" s="21">
        <v>0</v>
      </c>
      <c r="AJ19" s="21">
        <f>6906</f>
        <v>6906</v>
      </c>
      <c r="AK19" s="21">
        <v>2606</v>
      </c>
      <c r="AL19" s="21">
        <v>1355</v>
      </c>
      <c r="AM19" s="21">
        <v>0</v>
      </c>
      <c r="AN19" s="21">
        <v>11560</v>
      </c>
      <c r="AO19" s="21">
        <v>1777</v>
      </c>
      <c r="AP19" s="21">
        <v>0</v>
      </c>
      <c r="AQ19" s="21">
        <v>0</v>
      </c>
      <c r="AR19" s="21">
        <v>7007</v>
      </c>
      <c r="AS19" s="21">
        <v>413</v>
      </c>
      <c r="AT19" s="21">
        <v>0</v>
      </c>
      <c r="AU19" s="21">
        <v>0</v>
      </c>
      <c r="AV19" s="21">
        <v>6038</v>
      </c>
      <c r="AW19" s="21">
        <v>1807</v>
      </c>
      <c r="AX19" s="21">
        <v>0</v>
      </c>
      <c r="AY19" s="21">
        <v>0</v>
      </c>
      <c r="AZ19" s="21">
        <v>6157</v>
      </c>
      <c r="BA19" s="21">
        <v>60</v>
      </c>
      <c r="BB19" s="21">
        <v>0</v>
      </c>
      <c r="BC19" s="21">
        <v>0</v>
      </c>
      <c r="BD19" s="21">
        <v>4143</v>
      </c>
      <c r="BE19" s="21">
        <v>107</v>
      </c>
      <c r="BF19" s="21">
        <v>0</v>
      </c>
      <c r="BG19" s="21">
        <v>0</v>
      </c>
      <c r="BH19" s="21">
        <v>1344</v>
      </c>
      <c r="BI19" s="21">
        <v>0</v>
      </c>
      <c r="BJ19" s="21">
        <v>0</v>
      </c>
      <c r="BK19" s="21">
        <v>0</v>
      </c>
      <c r="BL19" s="21">
        <v>395</v>
      </c>
      <c r="BM19" s="21">
        <v>0</v>
      </c>
      <c r="BN19" s="21">
        <v>109</v>
      </c>
      <c r="BO19" s="21">
        <v>0</v>
      </c>
      <c r="BP19" s="21">
        <v>173</v>
      </c>
      <c r="BQ19" s="21">
        <v>0</v>
      </c>
      <c r="BR19" s="21">
        <v>169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110</v>
      </c>
      <c r="BY19" s="21">
        <v>25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34"/>
      <c r="CO19" s="2">
        <f>IF(SUM(R19:AC19)&gt;0,G19,0)</f>
        <v>9854434.8100000005</v>
      </c>
      <c r="CP19" s="2">
        <f>IF(SUM(R19:AC19)&gt;0,J19,0)</f>
        <v>123765.97</v>
      </c>
      <c r="CQ19" s="2">
        <f>IF(SUM(AA19:AC19)&gt;0,G19,0)</f>
        <v>0</v>
      </c>
      <c r="CR19" s="2">
        <f>IF(SUM(AA19:AC19)&gt;0,J19,0)</f>
        <v>0</v>
      </c>
      <c r="CS19" s="2"/>
      <c r="CT19" s="2"/>
      <c r="CU19" s="2"/>
      <c r="CV19" s="2"/>
    </row>
    <row r="20" spans="1:102" x14ac:dyDescent="0.25">
      <c r="A20" s="1">
        <v>13</v>
      </c>
      <c r="B20" s="12" t="s">
        <v>44</v>
      </c>
      <c r="C20" s="1" t="s">
        <v>84</v>
      </c>
      <c r="D20" s="13" t="s">
        <v>43</v>
      </c>
      <c r="E20" s="5">
        <v>338744.55</v>
      </c>
      <c r="F20" s="5">
        <v>0</v>
      </c>
      <c r="G20" s="28">
        <f t="shared" ref="G20:G23" si="3">F20+E20</f>
        <v>338744.55</v>
      </c>
      <c r="H20" s="28"/>
      <c r="I20" s="28"/>
      <c r="J20" s="27">
        <f>SUM(N20:AC20)</f>
        <v>0</v>
      </c>
      <c r="K20" s="29">
        <f>J20/G20</f>
        <v>0</v>
      </c>
      <c r="L20" s="27">
        <f>G20-J20</f>
        <v>338744.55</v>
      </c>
      <c r="M20" s="38"/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E20" s="21">
        <v>0</v>
      </c>
      <c r="AF20" s="21">
        <v>0</v>
      </c>
      <c r="AG20" s="21">
        <v>0</v>
      </c>
      <c r="AH20" s="21"/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34"/>
      <c r="CO20" s="2">
        <f>IF(SUM(R20:AC20)&gt;0,G20,0)</f>
        <v>0</v>
      </c>
      <c r="CP20" s="2">
        <f>IF(SUM(R20:AC20)&gt;0,J20,0)</f>
        <v>0</v>
      </c>
      <c r="CQ20" s="2">
        <f>IF(SUM(AA20:AC20)&gt;0,G20,0)</f>
        <v>0</v>
      </c>
      <c r="CR20" s="2">
        <f>IF(SUM(AA20:AC20)&gt;0,J20,0)</f>
        <v>0</v>
      </c>
      <c r="CS20" s="2"/>
      <c r="CT20" s="2"/>
      <c r="CU20" s="2"/>
      <c r="CV20" s="2"/>
      <c r="CX20" s="2"/>
    </row>
    <row r="21" spans="1:102" x14ac:dyDescent="0.25">
      <c r="A21" s="25">
        <v>14</v>
      </c>
      <c r="B21" s="12" t="s">
        <v>45</v>
      </c>
      <c r="C21" s="1" t="s">
        <v>46</v>
      </c>
      <c r="D21" s="13" t="s">
        <v>43</v>
      </c>
      <c r="E21" s="5">
        <v>43635.4</v>
      </c>
      <c r="F21" s="5">
        <v>2000</v>
      </c>
      <c r="G21" s="28">
        <f t="shared" si="3"/>
        <v>45635.4</v>
      </c>
      <c r="H21" s="28"/>
      <c r="I21" s="28"/>
      <c r="J21" s="27">
        <f>SUM(N21:AC21)</f>
        <v>1832.4</v>
      </c>
      <c r="K21" s="29">
        <f>J21/G21</f>
        <v>4.015303908807636E-2</v>
      </c>
      <c r="L21" s="27">
        <f>G21-J21</f>
        <v>43803</v>
      </c>
      <c r="M21" s="38"/>
      <c r="N21" s="5">
        <v>0</v>
      </c>
      <c r="O21" s="5">
        <v>0</v>
      </c>
      <c r="P21" s="5">
        <v>0</v>
      </c>
      <c r="Q21" s="5">
        <v>0</v>
      </c>
      <c r="R21" s="5">
        <v>374</v>
      </c>
      <c r="S21" s="5">
        <v>0</v>
      </c>
      <c r="T21" s="5">
        <v>154</v>
      </c>
      <c r="U21" s="5">
        <v>368.5</v>
      </c>
      <c r="V21" s="5">
        <v>506</v>
      </c>
      <c r="W21" s="5">
        <v>126.5</v>
      </c>
      <c r="X21" s="5">
        <v>78.399999999999991</v>
      </c>
      <c r="Y21" s="5">
        <v>225</v>
      </c>
      <c r="Z21" s="5">
        <v>0</v>
      </c>
      <c r="AA21" s="5">
        <v>0</v>
      </c>
      <c r="AB21" s="5">
        <v>0</v>
      </c>
      <c r="AC21" s="5">
        <v>0</v>
      </c>
      <c r="AE21" s="21">
        <v>0</v>
      </c>
      <c r="AF21" s="21">
        <v>0</v>
      </c>
      <c r="AG21" s="21">
        <v>0</v>
      </c>
      <c r="AH21" s="21"/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140</v>
      </c>
      <c r="AS21" s="21">
        <v>210</v>
      </c>
      <c r="AT21" s="21">
        <v>5</v>
      </c>
      <c r="AU21" s="21">
        <v>20</v>
      </c>
      <c r="AV21" s="21">
        <v>0</v>
      </c>
      <c r="AW21" s="21">
        <v>0</v>
      </c>
      <c r="AX21" s="21">
        <v>0</v>
      </c>
      <c r="AY21" s="21">
        <v>0</v>
      </c>
      <c r="AZ21" s="21">
        <v>60</v>
      </c>
      <c r="BA21" s="21">
        <v>24</v>
      </c>
      <c r="BB21" s="21">
        <v>0</v>
      </c>
      <c r="BC21" s="21">
        <v>1</v>
      </c>
      <c r="BD21" s="21">
        <v>101</v>
      </c>
      <c r="BE21" s="21">
        <v>25</v>
      </c>
      <c r="BF21" s="21">
        <v>11</v>
      </c>
      <c r="BG21" s="21">
        <v>2</v>
      </c>
      <c r="BH21" s="21">
        <v>78</v>
      </c>
      <c r="BI21" s="21">
        <v>205</v>
      </c>
      <c r="BJ21" s="21">
        <v>53</v>
      </c>
      <c r="BK21" s="21">
        <v>0</v>
      </c>
      <c r="BL21" s="21">
        <v>25</v>
      </c>
      <c r="BM21" s="21">
        <v>25</v>
      </c>
      <c r="BN21" s="21">
        <v>10</v>
      </c>
      <c r="BO21" s="21">
        <v>0</v>
      </c>
      <c r="BP21" s="21">
        <v>23</v>
      </c>
      <c r="BQ21" s="21">
        <v>17</v>
      </c>
      <c r="BR21" s="21">
        <v>14</v>
      </c>
      <c r="BS21" s="21">
        <v>2</v>
      </c>
      <c r="BT21" s="21">
        <v>32</v>
      </c>
      <c r="BU21" s="21">
        <v>90</v>
      </c>
      <c r="BV21" s="21">
        <v>28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34"/>
      <c r="CO21" s="2">
        <f>IF(SUM(R21:AC21)&gt;0,G21,0)</f>
        <v>45635.4</v>
      </c>
      <c r="CP21" s="2">
        <f>IF(SUM(R21:AC21)&gt;0,J21,0)</f>
        <v>1832.4</v>
      </c>
      <c r="CQ21" s="2">
        <f>IF(SUM(AA21:AC21)&gt;0,G21,0)</f>
        <v>0</v>
      </c>
      <c r="CR21" s="2">
        <f>IF(SUM(AA21:AC21)&gt;0,J21,0)</f>
        <v>0</v>
      </c>
      <c r="CS21" s="2"/>
      <c r="CT21" s="2"/>
      <c r="CU21" s="2"/>
      <c r="CV21" s="2"/>
    </row>
    <row r="22" spans="1:102" x14ac:dyDescent="0.25">
      <c r="A22" s="25">
        <v>15</v>
      </c>
      <c r="B22" s="12" t="s">
        <v>58</v>
      </c>
      <c r="C22" s="1" t="s">
        <v>47</v>
      </c>
      <c r="D22" s="13" t="s">
        <v>43</v>
      </c>
      <c r="E22" s="5">
        <v>365795.96</v>
      </c>
      <c r="F22" s="5">
        <v>50525</v>
      </c>
      <c r="G22" s="28">
        <f t="shared" si="3"/>
        <v>416320.96</v>
      </c>
      <c r="H22" s="28"/>
      <c r="I22" s="28"/>
      <c r="J22" s="27">
        <f>SUM(N22:AC22)</f>
        <v>118.46</v>
      </c>
      <c r="K22" s="29">
        <f>J22/G22</f>
        <v>2.8454008176768232E-4</v>
      </c>
      <c r="L22" s="27">
        <f>G22-J22</f>
        <v>416202.5</v>
      </c>
      <c r="M22" s="38"/>
      <c r="N22" s="5">
        <v>0</v>
      </c>
      <c r="O22" s="5">
        <v>0</v>
      </c>
      <c r="P22" s="5">
        <v>0</v>
      </c>
      <c r="Q22" s="5">
        <v>0</v>
      </c>
      <c r="R22" s="5">
        <v>44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74.459999999999994</v>
      </c>
      <c r="AA22" s="5">
        <v>0</v>
      </c>
      <c r="AB22" s="5">
        <v>0</v>
      </c>
      <c r="AC22" s="5">
        <v>0</v>
      </c>
      <c r="AE22" s="21">
        <v>0</v>
      </c>
      <c r="AF22" s="21">
        <v>0</v>
      </c>
      <c r="AG22" s="21">
        <v>0</v>
      </c>
      <c r="AH22" s="21"/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16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19</v>
      </c>
      <c r="BZ22" s="21">
        <v>4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34"/>
      <c r="CO22" s="2">
        <f>IF(SUM(R22:AC22)&gt;0,G22,0)</f>
        <v>416320.96</v>
      </c>
      <c r="CP22" s="2">
        <f>IF(SUM(R22:AC22)&gt;0,J22,0)</f>
        <v>118.46</v>
      </c>
      <c r="CQ22" s="2">
        <f>IF(SUM(AA22:AC22)&gt;0,G22,0)</f>
        <v>0</v>
      </c>
      <c r="CR22" s="2">
        <f>IF(SUM(AA22:AC22)&gt;0,J22,0)</f>
        <v>0</v>
      </c>
      <c r="CS22" s="2"/>
      <c r="CT22" s="2"/>
      <c r="CU22" s="2"/>
      <c r="CV22" s="2"/>
    </row>
    <row r="23" spans="1:102" x14ac:dyDescent="0.25">
      <c r="A23" s="1">
        <v>16</v>
      </c>
      <c r="B23" s="12" t="s">
        <v>48</v>
      </c>
      <c r="C23" s="1" t="s">
        <v>49</v>
      </c>
      <c r="D23" s="19" t="s">
        <v>43</v>
      </c>
      <c r="E23" s="9">
        <v>292091.59999999998</v>
      </c>
      <c r="F23" s="5">
        <v>0</v>
      </c>
      <c r="G23" s="28">
        <f t="shared" si="3"/>
        <v>292091.59999999998</v>
      </c>
      <c r="H23" s="28"/>
      <c r="I23" s="28"/>
      <c r="J23" s="27">
        <f>SUM(N23:AC23)</f>
        <v>4059.4</v>
      </c>
      <c r="K23" s="29">
        <f>J23/G23</f>
        <v>1.3897695106603547E-2</v>
      </c>
      <c r="L23" s="27">
        <f>G23-J23</f>
        <v>288032.19999999995</v>
      </c>
      <c r="M23" s="38"/>
      <c r="N23" s="5">
        <v>0</v>
      </c>
      <c r="O23" s="5">
        <v>0</v>
      </c>
      <c r="P23" s="5">
        <v>0</v>
      </c>
      <c r="Q23" s="5">
        <v>0</v>
      </c>
      <c r="R23" s="5">
        <v>528</v>
      </c>
      <c r="S23" s="5">
        <v>1144</v>
      </c>
      <c r="T23" s="5">
        <v>660</v>
      </c>
      <c r="U23" s="5">
        <v>0</v>
      </c>
      <c r="V23" s="5">
        <v>0</v>
      </c>
      <c r="W23" s="5">
        <v>1342</v>
      </c>
      <c r="X23" s="5">
        <v>106.39999999999999</v>
      </c>
      <c r="Y23" s="5">
        <v>72</v>
      </c>
      <c r="Z23" s="5">
        <v>0</v>
      </c>
      <c r="AA23" s="5">
        <v>207</v>
      </c>
      <c r="AB23" s="5">
        <v>0</v>
      </c>
      <c r="AC23" s="5">
        <v>0</v>
      </c>
      <c r="AE23" s="21">
        <v>0</v>
      </c>
      <c r="AF23" s="21">
        <v>21</v>
      </c>
      <c r="AG23" s="21">
        <v>0</v>
      </c>
      <c r="AH23" s="21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240</v>
      </c>
      <c r="AS23" s="21">
        <v>0</v>
      </c>
      <c r="AT23" s="21">
        <v>0</v>
      </c>
      <c r="AU23" s="21">
        <v>0</v>
      </c>
      <c r="AV23" s="21">
        <v>878</v>
      </c>
      <c r="AW23" s="21">
        <v>0</v>
      </c>
      <c r="AX23" s="21">
        <v>0</v>
      </c>
      <c r="AY23" s="21">
        <v>2</v>
      </c>
      <c r="AZ23" s="21">
        <v>192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1050</v>
      </c>
      <c r="BM23" s="21">
        <v>0</v>
      </c>
      <c r="BN23" s="21">
        <v>0</v>
      </c>
      <c r="BO23" s="21">
        <v>0</v>
      </c>
      <c r="BP23" s="21">
        <v>44</v>
      </c>
      <c r="BQ23" s="21">
        <v>32</v>
      </c>
      <c r="BR23" s="21">
        <v>0</v>
      </c>
      <c r="BS23" s="21">
        <v>0</v>
      </c>
      <c r="BT23" s="21">
        <v>0</v>
      </c>
      <c r="BU23" s="21">
        <v>48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138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34"/>
      <c r="CO23" s="2">
        <f>IF(SUM(R23:AC23)&gt;0,G23,0)</f>
        <v>292091.59999999998</v>
      </c>
      <c r="CP23" s="2">
        <f>IF(SUM(R23:AC23)&gt;0,J23,0)</f>
        <v>4059.4</v>
      </c>
      <c r="CQ23" s="2">
        <f>IF(SUM(AA23:AC23)&gt;0,G23,0)</f>
        <v>292091.59999999998</v>
      </c>
      <c r="CR23" s="2">
        <f>IF(SUM(AA23:AC23)&gt;0,J23,0)</f>
        <v>4059.4</v>
      </c>
      <c r="CS23" s="2"/>
      <c r="CT23" s="2"/>
      <c r="CU23" s="2"/>
      <c r="CV23" s="2"/>
    </row>
    <row r="24" spans="1:102" x14ac:dyDescent="0.25">
      <c r="B24" s="15"/>
      <c r="D24" s="4"/>
      <c r="K24" s="20"/>
      <c r="M24" s="4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</row>
    <row r="25" spans="1:102" x14ac:dyDescent="0.25">
      <c r="B25" s="15"/>
      <c r="D25" s="4"/>
      <c r="K25" s="20"/>
      <c r="M25" s="4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</row>
    <row r="26" spans="1:102" ht="15.75" thickBot="1" x14ac:dyDescent="0.3">
      <c r="B26" s="15"/>
      <c r="D26" s="4"/>
      <c r="K26" s="20"/>
      <c r="M26" s="4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</row>
    <row r="27" spans="1:102" ht="45" x14ac:dyDescent="0.25">
      <c r="B27" s="15"/>
      <c r="D27" s="4"/>
      <c r="J27" s="45" t="s">
        <v>94</v>
      </c>
      <c r="K27" s="46">
        <f>SUM(J8:J23)/SUM(G8:G23)</f>
        <v>2.1111975475424715E-2</v>
      </c>
      <c r="M27" s="4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</row>
    <row r="28" spans="1:102" ht="90" x14ac:dyDescent="0.25">
      <c r="J28" s="47" t="s">
        <v>96</v>
      </c>
      <c r="K28" s="48">
        <f>SUM(CR:CR)/SUM(CQ:CQ)</f>
        <v>4.8454782748137241E-2</v>
      </c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</row>
    <row r="29" spans="1:102" ht="90" x14ac:dyDescent="0.25">
      <c r="J29" s="47" t="s">
        <v>97</v>
      </c>
      <c r="K29" s="48">
        <f>SUM(CP:CP)/SUM(CO:CO)</f>
        <v>2.194017397850017E-2</v>
      </c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</row>
    <row r="30" spans="1:102" ht="45.75" thickBot="1" x14ac:dyDescent="0.3">
      <c r="J30" s="49" t="s">
        <v>95</v>
      </c>
      <c r="K30" s="50">
        <f>AVERAGE(K15:K23)</f>
        <v>2.7615940229572169E-2</v>
      </c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</row>
    <row r="31" spans="1:102" x14ac:dyDescent="0.25"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</row>
    <row r="32" spans="1:102" x14ac:dyDescent="0.25"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</row>
    <row r="33" spans="31:91" x14ac:dyDescent="0.25"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</row>
    <row r="34" spans="31:91" x14ac:dyDescent="0.25"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</row>
    <row r="35" spans="31:91" x14ac:dyDescent="0.25"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</row>
    <row r="36" spans="31:91" x14ac:dyDescent="0.25"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</row>
    <row r="37" spans="31:91" x14ac:dyDescent="0.25"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</row>
    <row r="38" spans="31:91" x14ac:dyDescent="0.25"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</row>
    <row r="39" spans="31:91" x14ac:dyDescent="0.25"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</row>
    <row r="40" spans="31:91" x14ac:dyDescent="0.25"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</row>
    <row r="41" spans="31:91" x14ac:dyDescent="0.25"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</row>
    <row r="42" spans="31:91" x14ac:dyDescent="0.25"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</row>
    <row r="43" spans="31:91" x14ac:dyDescent="0.25"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</row>
    <row r="44" spans="31:91" x14ac:dyDescent="0.25"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</row>
    <row r="45" spans="31:91" x14ac:dyDescent="0.25"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</row>
    <row r="46" spans="31:91" x14ac:dyDescent="0.25"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</row>
    <row r="47" spans="31:91" x14ac:dyDescent="0.25"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</row>
    <row r="48" spans="31:91" x14ac:dyDescent="0.25"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</row>
    <row r="49" spans="31:91" x14ac:dyDescent="0.25"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</row>
    <row r="50" spans="31:91" x14ac:dyDescent="0.25"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</row>
    <row r="51" spans="31:91" x14ac:dyDescent="0.25"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</row>
    <row r="52" spans="31:91" x14ac:dyDescent="0.25"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</row>
    <row r="53" spans="31:91" x14ac:dyDescent="0.25"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</row>
    <row r="54" spans="31:91" x14ac:dyDescent="0.25"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</row>
    <row r="55" spans="31:91" x14ac:dyDescent="0.25"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</row>
    <row r="56" spans="31:91" x14ac:dyDescent="0.25"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</row>
    <row r="57" spans="31:91" x14ac:dyDescent="0.25"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</row>
    <row r="58" spans="31:91" x14ac:dyDescent="0.25"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</row>
    <row r="59" spans="31:91" x14ac:dyDescent="0.25"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</row>
    <row r="60" spans="31:91" x14ac:dyDescent="0.25"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</row>
    <row r="61" spans="31:91" x14ac:dyDescent="0.25"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</row>
    <row r="62" spans="31:91" x14ac:dyDescent="0.25"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</row>
    <row r="63" spans="31:91" x14ac:dyDescent="0.25"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</row>
    <row r="64" spans="31:91" x14ac:dyDescent="0.25"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</row>
    <row r="65" spans="31:91" x14ac:dyDescent="0.25"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</row>
    <row r="66" spans="31:91" x14ac:dyDescent="0.25"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</row>
    <row r="67" spans="31:91" x14ac:dyDescent="0.25"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</row>
    <row r="68" spans="31:91" x14ac:dyDescent="0.25"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</row>
    <row r="69" spans="31:91" x14ac:dyDescent="0.25"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</row>
    <row r="70" spans="31:91" x14ac:dyDescent="0.25"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</row>
    <row r="71" spans="31:91" x14ac:dyDescent="0.25"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</row>
    <row r="72" spans="31:91" x14ac:dyDescent="0.25"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</row>
    <row r="73" spans="31:91" x14ac:dyDescent="0.25"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</row>
    <row r="74" spans="31:91" x14ac:dyDescent="0.25"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</row>
    <row r="75" spans="31:91" x14ac:dyDescent="0.25"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</row>
    <row r="76" spans="31:91" x14ac:dyDescent="0.25"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</row>
    <row r="77" spans="31:91" x14ac:dyDescent="0.25"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</row>
    <row r="78" spans="31:91" x14ac:dyDescent="0.25"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</row>
    <row r="79" spans="31:91" x14ac:dyDescent="0.25"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</row>
    <row r="80" spans="31:91" x14ac:dyDescent="0.25"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</row>
    <row r="81" spans="31:91" x14ac:dyDescent="0.25"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</row>
    <row r="82" spans="31:91" x14ac:dyDescent="0.25"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</row>
    <row r="83" spans="31:91" x14ac:dyDescent="0.25"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</row>
    <row r="84" spans="31:91" x14ac:dyDescent="0.25"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</row>
    <row r="85" spans="31:91" x14ac:dyDescent="0.25"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</row>
    <row r="86" spans="31:91" x14ac:dyDescent="0.25"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</row>
    <row r="87" spans="31:91" x14ac:dyDescent="0.25"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</row>
  </sheetData>
  <autoFilter ref="A7:CR23" xr:uid="{00000000-0001-0000-0100-000000000000}"/>
  <customSheetViews>
    <customSheetView guid="{00619EF7-C515-429F-AB3D-5DC348832EDA}" scale="96" showPageBreaks="1" showGridLines="0" filter="1" showAutoFilter="1" hiddenColumns="1">
      <selection activeCell="FJ57" sqref="FJ57:FM573"/>
      <pageMargins left="0.7" right="0.7" top="0.75" bottom="0.75" header="0.3" footer="0.3"/>
      <pageSetup paperSize="9" orientation="portrait" r:id="rId1"/>
      <autoFilter ref="A2:FP589" xr:uid="{01A88BD4-A522-4986-8B2C-ED7559CE328F}">
        <filterColumn colId="2">
          <filters blank="1">
            <filter val="11 Sirat Road"/>
            <filter val="234 Tembeling Rd"/>
            <filter val="24 Hartley Grove"/>
            <filter val="37 Poole Rd"/>
            <filter val="4 Jalan Seaview"/>
            <filter val="49 Bedok Walk"/>
            <filter val="681 Geylang Road"/>
            <filter val="70 Branksome Rd"/>
            <filter val="Bartley Rd/ The Quinn"/>
            <filter val="One bernam Phase I &amp; II"/>
            <filter val="RVS"/>
            <filter val="SCBD,Central Blvd"/>
            <filter val="St Thomas Walk/ 8 Thomas Walk"/>
            <filter val="T2C CSW"/>
            <filter val="Tampines Ave 10/tpaec/ Parc Central Residences"/>
          </filters>
        </filterColumn>
        <sortState xmlns:xlrd2="http://schemas.microsoft.com/office/spreadsheetml/2017/richdata2" ref="A3:FP589">
          <sortCondition ref="A2:A589"/>
        </sortState>
      </autoFilter>
    </customSheetView>
    <customSheetView guid="{64FD67D6-D868-479E-90CE-70272FB960D9}" scale="96" showPageBreaks="1" showGridLines="0" filter="1" showAutoFilter="1" hiddenColumns="1">
      <selection activeCell="FJ168" sqref="FJ168:FM572"/>
      <pageMargins left="0.7" right="0.7" top="0.75" bottom="0.75" header="0.3" footer="0.3"/>
      <pageSetup paperSize="9" orientation="portrait" r:id="rId2"/>
      <autoFilter ref="A2:FP589" xr:uid="{B1625213-66B8-40A2-8038-58D7C9850430}">
        <filterColumn colId="2">
          <filters blank="1">
            <filter val="11 Jalan Jelita"/>
            <filter val="20 Clifton Vale"/>
            <filter val="24 Rochalie Drive"/>
            <filter val="32 &amp; 34 Gilstead Road"/>
            <filter val="57 Holland Road"/>
            <filter val="9 Jalan Suasa"/>
            <filter val="Anchorvalle Wee poh (OLA)"/>
            <filter val="Canberra Link/Parc Canberra"/>
            <filter val="Johore Proj/The Reef"/>
            <filter val="Labrador UG SubStn BC2"/>
            <filter val="One Canberra"/>
            <filter val="Park Mall"/>
          </filters>
        </filterColumn>
        <sortState xmlns:xlrd2="http://schemas.microsoft.com/office/spreadsheetml/2017/richdata2" ref="A3:FP589">
          <sortCondition ref="A2:A589"/>
        </sortState>
      </autoFilter>
    </customSheetView>
    <customSheetView guid="{026E5010-F5BA-4F98-B34C-EB528F227AC7}" scale="96" showGridLines="0" filter="1" showAutoFilter="1" hiddenColumns="1">
      <selection activeCell="FJ258" sqref="FJ258:FM570"/>
      <pageMargins left="0.7" right="0.7" top="0.75" bottom="0.75" header="0.3" footer="0.3"/>
      <pageSetup paperSize="9" orientation="portrait" r:id="rId3"/>
      <autoFilter ref="A2:FP589" xr:uid="{F6F02F15-845F-406A-8492-B18838013725}">
        <filterColumn colId="2">
          <filters blank="1">
            <filter val="2 Astrid Hill"/>
            <filter val="24 Coronation Road"/>
            <filter val="74 Faber Heights"/>
            <filter val="C4A, TWRP"/>
            <filter val="Kampong buggis"/>
            <filter val="SAK 3, Sakra Road Jurong Island"/>
            <filter val="Sora Condo"/>
            <filter val="Toh Tuck Rd, Forett"/>
          </filters>
        </filterColumn>
        <sortState xmlns:xlrd2="http://schemas.microsoft.com/office/spreadsheetml/2017/richdata2" ref="A3:FP589">
          <sortCondition ref="A2:A589"/>
        </sortState>
      </autoFilter>
    </customSheetView>
    <customSheetView guid="{7A9CC306-38C7-48CD-8B78-93CD2EC556BF}" scale="96" showGridLines="0" filter="1" showAutoFilter="1" hiddenColumns="1">
      <pane xSplit="3" ySplit="2" topLeftCell="BH3" activePane="bottomRight" state="frozen"/>
      <selection pane="bottomRight" activeCell="FB132" sqref="FB132:FE565"/>
      <pageMargins left="0.7" right="0.7" top="0.75" bottom="0.75" header="0.3" footer="0.3"/>
      <pageSetup paperSize="9" orientation="portrait" r:id="rId4"/>
      <autoFilter ref="A2:FH581" xr:uid="{14A14EFA-4DE2-483E-A758-AA53BDF8746E}">
        <filterColumn colId="2">
          <filters blank="1">
            <filter val="138 Shelford Road"/>
            <filter val="17 Dalvey Estate"/>
            <filter val="22 Jln Elok"/>
            <filter val="24 Rochalie Drive"/>
            <filter val="39 Mount Jervious"/>
            <filter val="57 Holland Road"/>
            <filter val="58 Jalan Sindor"/>
            <filter val="73 Cluny Park"/>
            <filter val="Alba Condo"/>
            <filter val="Canberra Link/Parc Canberra"/>
            <filter val="Park Nova"/>
            <filter val="Whitley Rd"/>
          </filters>
        </filterColumn>
        <sortState xmlns:xlrd2="http://schemas.microsoft.com/office/spreadsheetml/2017/richdata2" ref="A3:FH581">
          <sortCondition ref="A2:A581"/>
        </sortState>
      </autoFilter>
    </customSheetView>
    <customSheetView guid="{AB8B12FE-939F-4B6A-AE4A-A20F448211BF}" scale="96" showGridLines="0" filter="1" showAutoFilter="1" hiddenColumns="1">
      <pane xSplit="3" ySplit="2" topLeftCell="BH3" activePane="bottomRight" state="frozen"/>
      <selection pane="bottomRight" activeCell="FB2" sqref="FB1:FE1048576"/>
      <pageMargins left="0.7" right="0.7" top="0.75" bottom="0.75" header="0.3" footer="0.3"/>
      <pageSetup paperSize="9" orientation="portrait" r:id="rId5"/>
      <autoFilter ref="A2:FH581" xr:uid="{98F02A5E-A920-4934-A04C-A754074921D9}">
        <filterColumn colId="2">
          <filters>
            <filter val="16 Third Avenue"/>
            <filter val="19A Ewart Park"/>
            <filter val="52 King's Close"/>
            <filter val="6A Sunset vale"/>
            <filter val="AST Pesawat Drive"/>
            <filter val="C4A, TWRP"/>
            <filter val="C4B, TWRP"/>
            <filter val="OBV"/>
            <filter val="Rochester Park"/>
            <filter val="SICC"/>
          </filters>
        </filterColumn>
        <sortState xmlns:xlrd2="http://schemas.microsoft.com/office/spreadsheetml/2017/richdata2" ref="A3:FH581">
          <sortCondition ref="A2:A581"/>
        </sortState>
      </autoFilter>
    </customSheetView>
    <customSheetView guid="{4DF3C604-4BB6-48E8-9666-B0473E169111}" scale="96" showGridLines="0" filter="1" showAutoFilter="1" hiddenColumns="1">
      <pane xSplit="3" ySplit="2" topLeftCell="BH3" activePane="bottomRight" state="frozen"/>
      <selection pane="bottomRight" activeCell="FE587" sqref="FE587"/>
      <pageMargins left="0.7" right="0.7" top="0.75" bottom="0.75" header="0.3" footer="0.3"/>
      <pageSetup paperSize="9" orientation="portrait" r:id="rId6"/>
      <autoFilter ref="A2:FH581" xr:uid="{B95906AA-79AF-45C0-A173-1CA975742A51}">
        <filterColumn colId="2">
          <filters>
            <filter val="29 Sea Ave"/>
            <filter val="37 Poole Rd"/>
            <filter val="681 Geylang Road"/>
            <filter val="RVS"/>
            <filter val="SCBD,Central Blvd"/>
            <filter val="T2C CSW"/>
            <filter val="Tampines Ave 10/tpaec/ Parc Central Residences"/>
            <filter val="TMKL"/>
          </filters>
        </filterColumn>
        <sortState xmlns:xlrd2="http://schemas.microsoft.com/office/spreadsheetml/2017/richdata2" ref="A3:FH581">
          <sortCondition ref="A2:A581"/>
        </sortState>
      </autoFilter>
    </customSheetView>
    <customSheetView guid="{8083EE3B-9D7C-4D56-B77A-A960804520EE}" filter="1" showAutoFilter="1" hiddenColumns="1">
      <selection activeCell="ET57" sqref="ET57:EW564"/>
      <pageMargins left="0.7" right="0.7" top="0.75" bottom="0.75" header="0.3" footer="0.3"/>
      <pageSetup paperSize="9" orientation="portrait" r:id="rId7"/>
      <autoFilter ref="A2:EZ570" xr:uid="{E5FC4396-F6AA-472E-8A36-DAA24F556AF2}">
        <filterColumn colId="2">
          <filters blank="1">
            <filter val="11 Sirat Road"/>
            <filter val="132 Marshall rd"/>
            <filter val="189 Selgie Rd/Selegie"/>
            <filter val="29 Sea Ave"/>
            <filter val="37 Poole Rd"/>
            <filter val="681 Geylang Road"/>
            <filter val="C06B"/>
            <filter val="Heron Bay"/>
            <filter val="Intra ARC"/>
            <filter val="One bernam Phase I &amp; II"/>
            <filter val="RVS"/>
            <filter val="Santorini"/>
            <filter val="T2C CSW"/>
            <filter val="Tampines Ave 10/tpaec/ Parc Central Residences"/>
          </filters>
        </filterColumn>
        <sortState xmlns:xlrd2="http://schemas.microsoft.com/office/spreadsheetml/2017/richdata2" ref="A3:EZ570">
          <sortCondition ref="A2:A570"/>
        </sortState>
      </autoFilter>
    </customSheetView>
    <customSheetView guid="{8AA99AFC-1349-4A3C-8081-CB4E69606337}" filter="1" showAutoFilter="1" hiddenColumns="1">
      <selection activeCell="ET103" sqref="ET103:EW557"/>
      <pageMargins left="0.7" right="0.7" top="0.75" bottom="0.75" header="0.3" footer="0.3"/>
      <pageSetup paperSize="9" orientation="portrait" r:id="rId8"/>
      <autoFilter ref="A2:EZ570" xr:uid="{ABB4AAEA-3BBC-422D-AE2F-DEBF56A033D1}">
        <filterColumn colId="2">
          <filters>
            <filter val="16 Third Avenue"/>
            <filter val="17 Swiss Club"/>
            <filter val="19A Ewart Park"/>
            <filter val="2 Astrid Hill"/>
            <filter val="28 Holland Green"/>
            <filter val="43 Coronation Drive"/>
            <filter val="48 Tuas Basin Link"/>
            <filter val="52 King's Close"/>
            <filter val="61 bintong park"/>
            <filter val="6A Sunset vale"/>
            <filter val="74 LORONG PISANG EMAS"/>
            <filter val="C2A, TWRP"/>
            <filter val="C4A, TWRP"/>
            <filter val="C4B, TWRP"/>
            <filter val="Jln Jurong Kechil (The Hillford)"/>
            <filter val="SAK 3, Sakra Road Jurong Island"/>
            <filter val="SICC"/>
            <filter val="The Parc Clementis/Clematis/Clementi"/>
          </filters>
        </filterColumn>
        <sortState xmlns:xlrd2="http://schemas.microsoft.com/office/spreadsheetml/2017/richdata2" ref="A3:EZ570">
          <sortCondition ref="A2:A570"/>
        </sortState>
      </autoFilter>
    </customSheetView>
    <customSheetView guid="{74A84572-5AA8-456C-AFB1-EC122EE6654F}" filter="1" showAutoFilter="1" hiddenColumns="1">
      <selection activeCell="ET162" sqref="ET162:EW561"/>
      <pageMargins left="0.7" right="0.7" top="0.75" bottom="0.75" header="0.3" footer="0.3"/>
      <pageSetup paperSize="9" orientation="portrait" r:id="rId9"/>
      <autoFilter ref="A2:EZ570" xr:uid="{84133A7F-A814-4AC1-9254-CC328FC18AEE}">
        <filterColumn colId="2">
          <filters blank="1">
            <filter val="17 Dalvey Estate"/>
            <filter val="20 Clifton Vale"/>
            <filter val="24 Rochalie Drive"/>
            <filter val="3 Jervois Hill"/>
            <filter val="32 &amp; 34 Gilstead Road"/>
            <filter val="33 Taman Permata"/>
            <filter val="57 Holland Road"/>
            <filter val="58 Jalan Sindor"/>
            <filter val="8 Kranji Crescent"/>
            <filter val="Alba Condo"/>
            <filter val="Anchorvalle/River Cove"/>
            <filter val="Canberra Link/Parc Canberra"/>
            <filter val="Labrador Park,UG SubStn BC1"/>
            <filter val="Micron, Fab10"/>
            <filter val="One Canberra"/>
          </filters>
        </filterColumn>
        <sortState xmlns:xlrd2="http://schemas.microsoft.com/office/spreadsheetml/2017/richdata2" ref="A3:EZ570">
          <sortCondition ref="A2:A570"/>
        </sortState>
      </autoFilter>
    </customSheetView>
    <customSheetView guid="{E6241EC7-9283-496B-A8EF-76698C197BC4}" filter="1" showAutoFilter="1" hiddenColumns="1">
      <selection activeCell="EP103" sqref="EP103:ES557"/>
      <pageMargins left="0.7" right="0.7" top="0.75" bottom="0.75" header="0.3" footer="0.3"/>
      <pageSetup paperSize="9" orientation="portrait" r:id="rId10"/>
      <autoFilter ref="A2:EV570" xr:uid="{A19F116E-E0AC-4C20-83FB-8868A9B5332C}">
        <filterColumn colId="2">
          <filters>
            <filter val="16 Third Avenue"/>
            <filter val="18 Jalan Lim Tai See"/>
            <filter val="2 Astrid Hill"/>
            <filter val="28 Holland Green"/>
            <filter val="442B Holland Road"/>
            <filter val="4A Jalan Kebaya"/>
            <filter val="61 bintong park"/>
            <filter val="64 Sunset View"/>
            <filter val="C4A, TWRP"/>
            <filter val="C4B, TWRP"/>
            <filter val="Jln Jurong Kechil (The Hillford)"/>
            <filter val="Lake Grande"/>
            <filter val="Pioneer Walk"/>
            <filter val="SICC"/>
            <filter val="The Parc Clementis/Clematis/Clementi"/>
          </filters>
        </filterColumn>
        <sortState xmlns:xlrd2="http://schemas.microsoft.com/office/spreadsheetml/2017/richdata2" ref="A3:EV570">
          <sortCondition ref="A2:A570"/>
        </sortState>
      </autoFilter>
    </customSheetView>
    <customSheetView guid="{5BAC5B51-8110-4865-BACE-7450C4EB6816}" filter="1" showAutoFilter="1" hiddenRows="1" hiddenColumns="1">
      <selection activeCell="EA31" sqref="EA31:ED548"/>
      <pageMargins left="0.7" right="0.7" top="0.75" bottom="0.75" header="0.3" footer="0.3"/>
      <pageSetup paperSize="9" orientation="portrait" r:id="rId11"/>
      <autoFilter ref="A2:EG548" xr:uid="{65CD4505-80E3-4812-8C1E-B3292D32A832}">
        <filterColumn colId="2">
          <filters>
            <filter val="1 Duku Place"/>
            <filter val="12 Fidelio Street"/>
            <filter val="24 Hartley Grove"/>
            <filter val="37 Poole Rd"/>
            <filter val="8 cove grove"/>
            <filter val="Biddari Estate"/>
            <filter val="Charlton Lane"/>
            <filter val="Intra ARC"/>
            <filter val="RVS"/>
            <filter val="SCBD,Central Blvd"/>
            <filter val="Sea Esta"/>
            <filter val="St Thomas Walk/ 8 Thomas Walk"/>
            <filter val="Tampines Ave 10/tpaec/ Parc Central Residences"/>
          </filters>
        </filterColumn>
        <sortState xmlns:xlrd2="http://schemas.microsoft.com/office/spreadsheetml/2017/richdata2" ref="A3:EG544">
          <sortCondition ref="A2:A544"/>
        </sortState>
      </autoFilter>
    </customSheetView>
    <customSheetView guid="{33CCA4DB-7E6D-40A2-9FB7-F754C24501AF}" filter="1" showAutoFilter="1" hiddenRows="1" hiddenColumns="1">
      <selection activeCell="BE538" sqref="BE538"/>
      <pageMargins left="0.7" right="0.7" top="0.75" bottom="0.75" header="0.3" footer="0.3"/>
      <pageSetup paperSize="9" orientation="portrait" r:id="rId12"/>
      <autoFilter ref="A2:EG547" xr:uid="{00F9C8E9-81CF-4C4B-8CCC-76070A666BBF}">
        <filterColumn colId="2">
          <filters>
            <filter val="12 Jln Harum"/>
            <filter val="17 Swiss Club"/>
            <filter val="18 Jalan Lim Tai See"/>
            <filter val="21 Lim Tai see walk"/>
            <filter val="25 Garlick Ave"/>
            <filter val="31 Green leaf Road"/>
            <filter val="442B Holland Road"/>
            <filter val="48 Tuas Basin Link"/>
            <filter val="4A Jalan Kebaya"/>
            <filter val="52 King's Close"/>
            <filter val="64 Sunset View"/>
            <filter val="7 Allamanda grove"/>
            <filter val="8 grove drive"/>
            <filter val="C4A, TWRP"/>
            <filter val="C4B, TWRP"/>
            <filter val="Data Centre"/>
            <filter val="Lake Grande"/>
            <filter val="Pioneer Walk"/>
            <filter val="Slim Barracks Rise"/>
          </filters>
        </filterColumn>
        <sortState xmlns:xlrd2="http://schemas.microsoft.com/office/spreadsheetml/2017/richdata2" ref="A3:EG544">
          <sortCondition ref="A2:A544"/>
        </sortState>
      </autoFilter>
    </customSheetView>
    <customSheetView guid="{168C3DC8-33EA-4ABF-BF57-E0694FDBF89D}" scale="85" filter="1" showAutoFilter="1" hiddenRows="1" hiddenColumns="1">
      <pane xSplit="3" ySplit="130" topLeftCell="D132" activePane="bottomRight" state="frozen"/>
      <selection pane="bottomRight" activeCell="EB546" sqref="EB546"/>
      <pageMargins left="0.7" right="0.7" top="0.75" bottom="0.75" header="0.3" footer="0.3"/>
      <pageSetup paperSize="9" orientation="portrait" r:id="rId13"/>
      <autoFilter ref="A2:EC543" xr:uid="{27B52262-327E-4AF2-B0AE-20B81BDCBA79}">
        <filterColumn colId="2">
          <filters>
            <filter val="12 Jln Harum"/>
            <filter val="16 Third Avenue"/>
            <filter val="17 Swiss Club"/>
            <filter val="2 Park Vale"/>
            <filter val="442B Holland Road"/>
            <filter val="4A Jalan Kebaya"/>
            <filter val="52 King's Close"/>
            <filter val="64 Sunset View"/>
            <filter val="67 Ming tech park"/>
            <filter val="8 grove drive"/>
            <filter val="C2A, TWRP"/>
            <filter val="C4A, TWRP"/>
            <filter val="Data Centre"/>
            <filter val="Lake Grand"/>
            <filter val="Linde LC02"/>
            <filter val="Pioneer Walk"/>
            <filter val="Rochester Park"/>
            <filter val="Seahill"/>
          </filters>
        </filterColumn>
        <sortState xmlns:xlrd2="http://schemas.microsoft.com/office/spreadsheetml/2017/richdata2" ref="A3:EC538">
          <sortCondition ref="A2:A538"/>
        </sortState>
      </autoFilter>
    </customSheetView>
    <customSheetView guid="{F285276A-A53D-4EC6-A0F2-E3AEE40DC067}" filter="1" showAutoFilter="1" hiddenColumns="1">
      <selection activeCell="DS480" sqref="DS480"/>
      <pageMargins left="0.7" right="0.7" top="0.75" bottom="0.75" header="0.3" footer="0.3"/>
      <pageSetup paperSize="9" orientation="portrait" r:id="rId14"/>
      <autoFilter ref="A2:DV538" xr:uid="{61A91CAE-534C-401B-946F-748A04D8C468}">
        <filterColumn colId="2">
          <filters>
            <filter val="12 Jln Harum"/>
            <filter val="17 Dalvey Estate"/>
            <filter val="17 Swiss Club"/>
            <filter val="27 Greenmead Ave"/>
            <filter val="48 Tuas Basin Link"/>
            <filter val="4A Jalan Kebaya"/>
            <filter val="52 King's Close"/>
            <filter val="64 Sunset View"/>
            <filter val="73 Cluny Park"/>
            <filter val="8 grove drive"/>
            <filter val="C2A, TWRP"/>
            <filter val="C4A, TWRP"/>
            <filter val="Great World City 2/ GWC UPL"/>
            <filter val="Pioneer Walk"/>
            <filter val="SAK 3 Jurong Island"/>
            <filter val="SJ Campus"/>
            <filter val="West wood/westwood"/>
          </filters>
        </filterColumn>
        <sortState xmlns:xlrd2="http://schemas.microsoft.com/office/spreadsheetml/2017/richdata2" ref="A3:DV534">
          <sortCondition ref="A2:A534"/>
        </sortState>
      </autoFilter>
    </customSheetView>
    <customSheetView guid="{B033AA07-7600-4EBC-9390-00AF71C0C5C7}" filter="1" showAutoFilter="1" hiddenColumns="1">
      <selection activeCell="DP143" sqref="DP143:DS535"/>
      <pageMargins left="0.7" right="0.7" top="0.75" bottom="0.75" header="0.3" footer="0.3"/>
      <pageSetup paperSize="9" orientation="portrait" r:id="rId15"/>
      <autoFilter ref="A2:DV535" xr:uid="{59B82363-262B-4251-B861-5C01ED4DFB8F}">
        <filterColumn colId="2">
          <filters>
            <filter val="11 Jalan Jelita"/>
            <filter val="17 Dalvey Estate"/>
            <filter val="21 Mount rosie road"/>
            <filter val="26 Dalvey Estate"/>
            <filter val="42 Alexandra Terrace"/>
            <filter val="57 Holland Road"/>
            <filter val="Anchorvalle/River Cove"/>
            <filter val="Canberra Link/Parc Canberra"/>
            <filter val="Clifton Vale"/>
            <filter val="Labrador UG SubStn BC2"/>
            <filter val="One Canberra"/>
            <filter val="Park Mall"/>
            <filter val="Phoenix Rd/ Phoenix Residence"/>
            <filter val="Punggol Sports Hub/PRSC"/>
            <filter val="Seletar Park Res"/>
            <filter val="UIC, Shenton Way"/>
          </filters>
        </filterColumn>
        <sortState xmlns:xlrd2="http://schemas.microsoft.com/office/spreadsheetml/2017/richdata2" ref="A3:DV534">
          <sortCondition ref="A2:A534"/>
        </sortState>
      </autoFilter>
    </customSheetView>
    <customSheetView guid="{679661BB-2F00-4133-9B3E-75FC7FF3A6D5}" filter="1" showAutoFilter="1" hiddenColumns="1">
      <selection activeCell="C482" sqref="C482"/>
      <pageMargins left="0.7" right="0.7" top="0.75" bottom="0.75" header="0.3" footer="0.3"/>
      <pageSetup paperSize="9" orientation="portrait" r:id="rId16"/>
      <autoFilter ref="A2:DN532" xr:uid="{6B8E7A17-1EF2-447D-BC5B-58DD2CC30458}">
        <filterColumn colId="2">
          <filters>
            <filter val="12 Jln Harum"/>
            <filter val="17 Dalvey Estate"/>
            <filter val="21 Anderson Rd"/>
            <filter val="26 Dalvey Estate"/>
            <filter val="28 Holland Green"/>
            <filter val="33 Jalan Arnap"/>
            <filter val="37 Jalan Kelawar"/>
            <filter val="4A Jalan Kebaya"/>
            <filter val="52 King's Close"/>
            <filter val="57 Holland Road"/>
            <filter val="64 Sunset View"/>
            <filter val="73 Cluny Park"/>
            <filter val="89 Thomson Ridge"/>
            <filter val="Great World City 2/ GWC UPL"/>
            <filter val="Labrador Park,UG SubStn BC1"/>
            <filter val="Labrador UG SubStn BC2"/>
            <filter val="Park Mall"/>
            <filter val="Park Nova"/>
            <filter val="SICC"/>
          </filters>
        </filterColumn>
        <sortState xmlns:xlrd2="http://schemas.microsoft.com/office/spreadsheetml/2017/richdata2" ref="A426:DN426">
          <sortCondition ref="C2:C521"/>
        </sortState>
      </autoFilter>
    </customSheetView>
    <customSheetView guid="{19CD7DDC-F1EF-4FD6-99F9-814D645F6529}" scale="115" filter="1" showAutoFilter="1" hiddenColumns="1">
      <selection activeCell="AY167" sqref="AY167:AY525"/>
      <pageMargins left="0.7" right="0.7" top="0.75" bottom="0.75" header="0.3" footer="0.3"/>
      <pageSetup paperSize="9" orientation="portrait" r:id="rId17"/>
      <autoFilter ref="A2:DN528" xr:uid="{1EA9AEC0-F6BB-4113-9C8C-DD7B51832E6F}">
        <filterColumn colId="2">
          <filters>
            <filter val="16 mayflower ave"/>
            <filter val="55 Lentor way"/>
            <filter val="Canberra Link/Parc Canberra"/>
            <filter val="Clifton Vale"/>
            <filter val="One Canberra"/>
            <filter val="Phoenix Rd/ Phoenix Residence"/>
            <filter val="Semb  Sports Hub/SSCH"/>
            <filter val="View at Kismis/Lorong Kismis"/>
          </filters>
        </filterColumn>
        <sortState xmlns:xlrd2="http://schemas.microsoft.com/office/spreadsheetml/2017/richdata2" ref="A426:DN426">
          <sortCondition ref="C2:C521"/>
        </sortState>
      </autoFilter>
    </customSheetView>
    <customSheetView guid="{BB2D0014-8EA3-4DB5-98B4-090AA1B65C8B}" scale="115" filter="1" showAutoFilter="1" hiddenColumns="1">
      <selection activeCell="DI532" sqref="DI532"/>
      <pageMargins left="0.7" right="0.7" top="0.75" bottom="0.75" header="0.3" footer="0.3"/>
      <pageSetup paperSize="9" orientation="portrait" r:id="rId18"/>
      <autoFilter ref="A2:DN528" xr:uid="{6B2E4068-1C0F-4C25-9DAA-9E58863F7E28}">
        <filterColumn colId="2">
          <filters>
            <filter val="AST Pesawat Drive"/>
            <filter val="C4A, TWRP"/>
            <filter val="The Parc Clementis/Clematis/Clementi"/>
          </filters>
        </filterColumn>
        <sortState xmlns:xlrd2="http://schemas.microsoft.com/office/spreadsheetml/2017/richdata2" ref="A426:DN426">
          <sortCondition ref="C2:C521"/>
        </sortState>
      </autoFilter>
    </customSheetView>
    <customSheetView guid="{C1D6F20C-00F0-4542-9335-3FE773FF0899}" scale="115" showAutoFilter="1">
      <selection activeCell="DD13" sqref="DD13"/>
      <pageMargins left="0.7" right="0.7" top="0.75" bottom="0.75" header="0.3" footer="0.3"/>
      <pageSetup paperSize="9" orientation="portrait" horizontalDpi="0" verticalDpi="0" r:id="rId19"/>
      <autoFilter ref="A2:DG528" xr:uid="{9CE0E7B7-B47A-4CEA-A280-96F984F14D7E}">
        <sortState xmlns:xlrd2="http://schemas.microsoft.com/office/spreadsheetml/2017/richdata2" ref="A426:DG426">
          <sortCondition ref="C2:C521"/>
        </sortState>
      </autoFilter>
    </customSheetView>
    <customSheetView guid="{C17405CA-25CB-4A19-898F-2B194E860742}" scale="115" filter="1" showAutoFilter="1" hiddenColumns="1">
      <selection activeCell="DC465" sqref="DC465"/>
      <pageMargins left="0.7" right="0.7" top="0.75" bottom="0.75" header="0.3" footer="0.3"/>
      <pageSetup paperSize="9" orientation="portrait" horizontalDpi="0" verticalDpi="0" r:id="rId20"/>
      <autoFilter ref="A2:DG528" xr:uid="{B38DE3B0-74C2-4FC0-8AE2-64C9F7DC5F8C}">
        <filterColumn colId="2">
          <filters>
            <filter val="12 Jln Harum"/>
            <filter val="17 Swiss Club"/>
            <filter val="21 Mount rosie road"/>
            <filter val="28 Holland Green"/>
            <filter val="43 Coronation Drive"/>
            <filter val="52 King's Close"/>
            <filter val="57 Holland Road"/>
            <filter val="64 Sunset View"/>
            <filter val="7 Allamanda grove"/>
            <filter val="73 Cluny Park"/>
            <filter val="785, Old Holland Rd"/>
            <filter val="89 Thomson Ridge"/>
            <filter val="Great World City 2/ GWC UPL"/>
            <filter val="OBV"/>
            <filter val="Park Mall"/>
            <filter val="Park Nova"/>
            <filter val="SICC"/>
          </filters>
        </filterColumn>
        <sortState xmlns:xlrd2="http://schemas.microsoft.com/office/spreadsheetml/2017/richdata2" ref="A426:DG426">
          <sortCondition ref="C2:C521"/>
        </sortState>
      </autoFilter>
    </customSheetView>
    <customSheetView guid="{9B154695-ADDF-4215-9F26-0FEFB78065DF}" scale="115" filter="1" showAutoFilter="1" hiddenColumns="1">
      <selection activeCell="DC531" sqref="DC531"/>
      <pageMargins left="0.7" right="0.7" top="0.75" bottom="0.75" header="0.3" footer="0.3"/>
      <pageSetup paperSize="9" orientation="portrait" horizontalDpi="0" verticalDpi="0" r:id="rId21"/>
      <autoFilter ref="A2:DG527" xr:uid="{1AEB2C8B-B52F-49DF-BD7C-4654A046B36C}">
        <filterColumn colId="2">
          <filters>
            <filter val="Anchorvalle Wee poh (OLA)"/>
            <filter val="Anchorvalle/River Cove"/>
            <filter val="Canberra Link/Parc Canberra"/>
            <filter val="Clifton Vale"/>
            <filter val="Cluny Park Residence"/>
            <filter val="Nautical Residence"/>
            <filter val="One Canberra"/>
            <filter val="Punggol Church"/>
            <filter val="Punggol Sports Hub/PRSC"/>
            <filter val="Seletar Park Res"/>
            <filter val="Semb  Sports Hub/SSCH"/>
            <filter val="Tengah C8"/>
            <filter val="Upp Bukit Timah Rd"/>
          </filters>
        </filterColumn>
        <sortState xmlns:xlrd2="http://schemas.microsoft.com/office/spreadsheetml/2017/richdata2" ref="A426:DG426">
          <sortCondition ref="C2:C521"/>
        </sortState>
      </autoFilter>
    </customSheetView>
    <customSheetView guid="{58B9F895-ACC5-4E88-A55B-4085AE08B31B}" scale="115" filter="1" showAutoFilter="1" hiddenColumns="1">
      <selection activeCell="AX527" sqref="AX527"/>
      <pageMargins left="0.7" right="0.7" top="0.75" bottom="0.75" header="0.3" footer="0.3"/>
      <pageSetup paperSize="9" orientation="portrait" horizontalDpi="0" verticalDpi="0" r:id="rId22"/>
      <autoFilter ref="A2:DG525" xr:uid="{8599332A-5CA9-4702-BF0E-D060A70AACA6}">
        <filterColumn colId="2">
          <filters>
            <filter val="AST Pesawat Drive"/>
            <filter val="C4A, TWRP"/>
          </filters>
        </filterColumn>
        <sortState xmlns:xlrd2="http://schemas.microsoft.com/office/spreadsheetml/2017/richdata2" ref="A426:DG426">
          <sortCondition ref="C2:C521"/>
        </sortState>
      </autoFilter>
    </customSheetView>
    <customSheetView guid="{8108BC44-82A1-4E56-9E62-271977972115}" filter="1" showAutoFilter="1" hiddenColumns="1">
      <selection activeCell="DP542" sqref="DP542"/>
      <pageMargins left="0.7" right="0.7" top="0.75" bottom="0.75" header="0.3" footer="0.3"/>
      <pageSetup paperSize="9" orientation="portrait" r:id="rId23"/>
      <autoFilter ref="A2:DR533" xr:uid="{BE7D1BFB-43E4-4F0E-B04A-7CB7D1A96A86}">
        <filterColumn colId="2">
          <filters>
            <filter val="28 Jalan Daun Lebat"/>
            <filter val="Anchorvalle Wee poh (OLA)"/>
            <filter val="Anchorvalle/River Cove"/>
            <filter val="Canberra Link/Parc Canberra"/>
            <filter val="Clifton Vale"/>
            <filter val="Johore Proj/The Reef"/>
            <filter val="Miltonia Residence"/>
            <filter val="One Canberra"/>
            <filter val="Phoenix Rd/ Phoenix Residence"/>
          </filters>
        </filterColumn>
        <sortState xmlns:xlrd2="http://schemas.microsoft.com/office/spreadsheetml/2017/richdata2" ref="A3:DR532">
          <sortCondition ref="A2:A532"/>
        </sortState>
      </autoFilter>
    </customSheetView>
    <customSheetView guid="{B62B9B7D-6C30-458E-B069-A0BD875BB6FA}" filter="1" showAutoFilter="1" hiddenColumns="1">
      <selection activeCell="C294" sqref="C294"/>
      <pageMargins left="0.7" right="0.7" top="0.75" bottom="0.75" header="0.3" footer="0.3"/>
      <pageSetup paperSize="9" orientation="portrait" r:id="rId24"/>
      <autoFilter ref="A2:DR534" xr:uid="{7D2A7C81-F058-4F3F-BB90-85F327E9D24C}">
        <filterColumn colId="2">
          <filters>
            <filter val="1 Rambai Rd"/>
            <filter val="10 Tannery Lane"/>
            <filter val="189 Selgie Rd/Selegie"/>
            <filter val="37 Poole Rd"/>
            <filter val="729 Mountbatten Rd"/>
            <filter val="8 cove grove"/>
            <filter val="C22B HSL"/>
            <filter val="RVS"/>
            <filter val="SCBD,Central Blvd"/>
            <filter val="St Thomas Walk/ 8 Thomas Walk"/>
            <filter val="Tampines Ave 10/tpaec/ Parc Central Residences"/>
            <filter val="TMKL"/>
          </filters>
        </filterColumn>
        <sortState xmlns:xlrd2="http://schemas.microsoft.com/office/spreadsheetml/2017/richdata2" ref="A3:DR532">
          <sortCondition ref="A2:A532"/>
        </sortState>
      </autoFilter>
    </customSheetView>
    <customSheetView guid="{21DB1A4B-D333-4155-AB5A-9BC5572CF5DF}" filter="1" showAutoFilter="1" hiddenColumns="1">
      <selection activeCell="AZ539" sqref="AZ539"/>
      <pageMargins left="0.7" right="0.7" top="0.75" bottom="0.75" header="0.3" footer="0.3"/>
      <pageSetup paperSize="9" orientation="portrait" r:id="rId25"/>
      <autoFilter ref="A2:DR534" xr:uid="{6D11CB3E-B4DC-4068-AD0D-57DAADFBAEAF}">
        <filterColumn colId="2">
          <filters>
            <filter val="C4A, TWRP"/>
            <filter val="Seahill"/>
            <filter val="The Parc Clementis/Clematis/Clementi"/>
          </filters>
        </filterColumn>
        <sortState xmlns:xlrd2="http://schemas.microsoft.com/office/spreadsheetml/2017/richdata2" ref="A3:DR532">
          <sortCondition ref="A2:A532"/>
        </sortState>
      </autoFilter>
    </customSheetView>
    <customSheetView guid="{89F57732-B161-4DB9-80F0-52C11809EAEF}" filter="1" showAutoFilter="1" hiddenColumns="1">
      <selection activeCell="DP31" sqref="DP31:DS534"/>
      <pageMargins left="0.7" right="0.7" top="0.75" bottom="0.75" header="0.3" footer="0.3"/>
      <pageSetup paperSize="9" orientation="portrait" r:id="rId26"/>
      <autoFilter ref="A2:DV538" xr:uid="{C7E19041-55A1-4DC5-A068-50ED030FC796}">
        <filterColumn colId="2">
          <filters>
            <filter val="1 Rambai Rd"/>
            <filter val="10 Tannery Lane"/>
            <filter val="189 Selgie Rd/Selegie"/>
            <filter val="33 Richard ave"/>
            <filter val="37 Poole Rd"/>
            <filter val="4 clifton vale"/>
            <filter val="729 Mountbatten Rd"/>
            <filter val="8 cove grove"/>
            <filter val="Aroozoo Lane"/>
            <filter val="Intra ARC"/>
            <filter val="New Industrial Rd"/>
            <filter val="RVS"/>
            <filter val="SCBD,Central Blvd"/>
            <filter val="Sea Esta"/>
            <filter val="Tampines Ave 10/tpaec/ Parc Central Residences"/>
            <filter val="Tampines Town Hub"/>
            <filter val="TMKL"/>
          </filters>
        </filterColumn>
        <sortState xmlns:xlrd2="http://schemas.microsoft.com/office/spreadsheetml/2017/richdata2" ref="A3:DV534">
          <sortCondition ref="A2:A534"/>
        </sortState>
      </autoFilter>
    </customSheetView>
    <customSheetView guid="{4DB73DCD-46D8-4B02-9B2D-2F6EFB90B188}" scale="85" filter="1" showAutoFilter="1" hiddenRows="1" hiddenColumns="1">
      <pane xSplit="3" ySplit="2" topLeftCell="D3" activePane="bottomRight" state="frozen"/>
      <selection pane="bottomRight" activeCell="DW132" sqref="DW132:DZ539"/>
      <pageMargins left="0.7" right="0.7" top="0.75" bottom="0.75" header="0.3" footer="0.3"/>
      <pageSetup paperSize="9" orientation="portrait" r:id="rId27"/>
      <autoFilter ref="A2:EC539" xr:uid="{894DA682-4343-4957-91B2-151ED8BE723C}">
        <filterColumn colId="2">
          <filters>
            <filter val="21 Anderson Rd"/>
            <filter val="21 Mount rosie road"/>
            <filter val="32 &amp; 34 Gilstead Road"/>
            <filter val="39 Mount Jervious"/>
            <filter val="55 Lentor way"/>
            <filter val="57 Holland Road"/>
            <filter val="73 Cluny Park"/>
            <filter val="89 Thomson Ridge"/>
            <filter val="90 Fernhill Rd"/>
            <filter val="Anchorvalle/River Cove"/>
            <filter val="Canberra Link/Parc Canberra"/>
            <filter val="Great World City 2/ GWC UPL"/>
            <filter val="Labrador UG SubStn BC2"/>
            <filter val="NPC/North Point Centre/City"/>
            <filter val="One Canberra"/>
            <filter val="Phoenix Rd/ Phoenix Residence"/>
            <filter val="Punggol Church"/>
            <filter val="Punggol Sports Hub/PRSC"/>
            <filter val="Semb  Sports Hub/SSCH"/>
          </filters>
        </filterColumn>
        <sortState xmlns:xlrd2="http://schemas.microsoft.com/office/spreadsheetml/2017/richdata2" ref="A3:EC538">
          <sortCondition ref="A2:A538"/>
        </sortState>
      </autoFilter>
    </customSheetView>
    <customSheetView guid="{5A29B769-F6C0-4A5A-BE26-EA346E1F7A1A}" scale="85" filter="1" showAutoFilter="1" hiddenRows="1" hiddenColumns="1">
      <selection activeCell="C551" sqref="C551"/>
      <pageMargins left="0.7" right="0.7" top="0.75" bottom="0.75" header="0.3" footer="0.3"/>
      <pageSetup paperSize="9" orientation="portrait" r:id="rId28"/>
      <autoFilter ref="A2:EC545" xr:uid="{2DCA5622-71BE-47B7-A51C-4CB30F7AE757}">
        <filterColumn colId="2">
          <filters>
            <filter val="1 Rambai Rd"/>
            <filter val="13 Boscombe rd"/>
            <filter val="189 Selgie Rd/Selegie"/>
            <filter val="37 Poole Rd"/>
            <filter val="67/69 Jln Angin Lout"/>
            <filter val="Biddari Estate"/>
            <filter val="Charlton Lane"/>
            <filter val="Heron Bay"/>
            <filter val="Intra ARC"/>
            <filter val="Mount Sophia"/>
            <filter val="One bernam Phase I &amp; II"/>
            <filter val="RVS"/>
            <filter val="St Thomas Walk/ 8 Thomas Walk"/>
            <filter val="Tampines Ave 10/tpaec/ Parc Central Residences"/>
          </filters>
        </filterColumn>
        <sortState xmlns:xlrd2="http://schemas.microsoft.com/office/spreadsheetml/2017/richdata2" ref="A3:EC538">
          <sortCondition ref="A2:A538"/>
        </sortState>
      </autoFilter>
    </customSheetView>
    <customSheetView guid="{3700F944-6C76-45D8-B8B7-C6BD0C9FF627}" filter="1" showAutoFilter="1" hiddenRows="1" hiddenColumns="1">
      <selection activeCell="EG465" sqref="EG465"/>
      <pageMargins left="0.7" right="0.7" top="0.75" bottom="0.75" header="0.3" footer="0.3"/>
      <pageSetup paperSize="9" orientation="portrait" r:id="rId29"/>
      <autoFilter ref="A2:EG547" xr:uid="{3C6CF473-E767-49FF-AF6A-6F5EB088EF28}">
        <filterColumn colId="2">
          <filters>
            <filter val="17 Dalvey Estate"/>
            <filter val="18, Elligton Square"/>
            <filter val="20 Clifton Vale"/>
            <filter val="21 Mount rosie road"/>
            <filter val="28 Jalan Daun Lebat"/>
            <filter val="39 Mount Jervious"/>
            <filter val="57 Holland Road"/>
            <filter val="73 Cluny Park"/>
            <filter val="89 Thomson Ridge"/>
            <filter val="90 Fernhill Rd"/>
            <filter val="Anchorvalle Wee poh (OLA)"/>
            <filter val="Anchorvalle/River Cove"/>
            <filter val="Canberra Link/Parc Canberra"/>
            <filter val="Johore Proj/The Reef"/>
            <filter val="Mount Sophia"/>
            <filter val="OBV"/>
            <filter val="One Canberra"/>
            <filter val="Punggol Sports Hub/PRSC"/>
            <filter val="SAS @ Woodlands St 41/Singapore American School"/>
            <filter val="Semb  Sports Hub/SSCH"/>
          </filters>
        </filterColumn>
        <sortState xmlns:xlrd2="http://schemas.microsoft.com/office/spreadsheetml/2017/richdata2" ref="A3:EG544">
          <sortCondition ref="A2:A544"/>
        </sortState>
      </autoFilter>
    </customSheetView>
    <customSheetView guid="{AC8F372D-ADA3-4FFA-BD46-B21B64A85128}" filter="1" showAutoFilter="1" hiddenColumns="1">
      <selection activeCell="EE306" sqref="EE306:EH550"/>
      <pageMargins left="0.7" right="0.7" top="0.75" bottom="0.75" header="0.3" footer="0.3"/>
      <pageSetup paperSize="9" orientation="portrait" r:id="rId30"/>
      <autoFilter ref="A2:EK555" xr:uid="{A997ABF7-3964-4958-9205-D66251F9EDB6}">
        <filterColumn colId="2">
          <filters>
            <filter val="16 Third Avenue"/>
            <filter val="17 Swiss Club"/>
            <filter val="27 Greenmead Ave"/>
            <filter val="442B Holland Road"/>
            <filter val="4A Jalan Kebaya"/>
            <filter val="64 Sunset View"/>
            <filter val="7 Allamanda grove"/>
            <filter val="74 LORONG PISANG EMAS"/>
            <filter val="8 grove drive"/>
            <filter val="C4A, TWRP"/>
            <filter val="C4B, TWRP"/>
            <filter val="Lake Grande"/>
            <filter val="Pioneer Walk"/>
            <filter val="Rochester Park"/>
            <filter val="SAK 3, Sakra Road Jurong Island"/>
            <filter val="SICC"/>
            <filter val="Slim Barracks Rise"/>
            <filter val="TUAS SOUTH STREET 7"/>
          </filters>
        </filterColumn>
        <sortState xmlns:xlrd2="http://schemas.microsoft.com/office/spreadsheetml/2017/richdata2" ref="A3:EK544">
          <sortCondition ref="A2:A544"/>
        </sortState>
      </autoFilter>
    </customSheetView>
    <customSheetView guid="{ABC5E241-99E1-480D-8F7F-79A320B7EE5F}" scale="85" filter="1" showAutoFilter="1" hiddenColumns="1">
      <selection activeCell="C562" sqref="C562"/>
      <pageMargins left="0.7" right="0.7" top="0.75" bottom="0.75" header="0.3" footer="0.3"/>
      <pageSetup paperSize="9" orientation="portrait" r:id="rId31"/>
      <autoFilter ref="A2:EK563" xr:uid="{38873DAA-1A7F-442C-83F7-2F208BE553E4}">
        <filterColumn colId="2">
          <filters blank="1">
            <filter val="12 begonia rd"/>
            <filter val="21 Anderson Rd"/>
            <filter val="24 Rochalie Drive"/>
            <filter val="57 Holland Road"/>
            <filter val="57 Kheam Hock Rd"/>
            <filter val="58 Jalan Sindor"/>
            <filter val="90 Fernhill Rd"/>
            <filter val="Anchorvalle Wee poh (OLA)"/>
            <filter val="C920 Newton Stn"/>
            <filter val="Canberra Link/Parc Canberra"/>
            <filter val="Mandai Lake (Zoo)"/>
            <filter val="One Canberra"/>
            <filter val="Park Mall"/>
            <filter val="Whitley Rd"/>
            <filter val="Yio Chu Kang Rd/YCKEC/Hundred Palms"/>
          </filters>
        </filterColumn>
        <sortState xmlns:xlrd2="http://schemas.microsoft.com/office/spreadsheetml/2017/richdata2" ref="A3:EK544">
          <sortCondition ref="A2:A544"/>
        </sortState>
      </autoFilter>
    </customSheetView>
    <customSheetView guid="{03C3983D-0727-4E6A-BC5D-01E139585FE6}" scale="85" filter="1" showAutoFilter="1" hiddenColumns="1">
      <selection activeCell="EE69" sqref="EE69:EH556"/>
      <pageMargins left="0.7" right="0.7" top="0.75" bottom="0.75" header="0.3" footer="0.3"/>
      <pageSetup paperSize="9" orientation="portrait" r:id="rId32"/>
      <autoFilter ref="A2:EK563" xr:uid="{737C9524-1938-4144-A729-B9904A0FDF5C}">
        <filterColumn colId="2">
          <filters blank="1">
            <filter val="1 Duku Place"/>
            <filter val="1 Rambai Rd"/>
            <filter val="189 Selgie Rd/Selegie"/>
            <filter val="29 Sea Ave"/>
            <filter val="33 Richard ave"/>
            <filter val="37 Poole Rd"/>
            <filter val="4 Jalan Seaview"/>
            <filter val="99 Still Rd"/>
            <filter val="Intra ARC"/>
            <filter val="One bernam Phase I &amp; II"/>
            <filter val="RVS"/>
            <filter val="Santorini"/>
            <filter val="SCBD,Central Blvd"/>
            <filter val="TMKL"/>
          </filters>
        </filterColumn>
        <sortState xmlns:xlrd2="http://schemas.microsoft.com/office/spreadsheetml/2017/richdata2" ref="A3:EK544">
          <sortCondition ref="A2:A544"/>
        </sortState>
      </autoFilter>
    </customSheetView>
    <customSheetView guid="{E055FEAB-A6BC-4F63-8CB2-3FBA272441AC}" scale="115" filter="1" showAutoFilter="1" hiddenColumns="1">
      <pane xSplit="1" ySplit="2" topLeftCell="B3" activePane="bottomRight" state="frozen"/>
      <selection pane="bottomRight" activeCell="EY571" sqref="EY571"/>
      <pageMargins left="0.7" right="0.7" top="0.75" bottom="0.75" header="0.3" footer="0.3"/>
      <pageSetup paperSize="9" orientation="portrait" r:id="rId33"/>
      <autoFilter ref="A2:ER570" xr:uid="{0DF64F41-B078-4F2A-9977-9EE912411C39}">
        <filterColumn colId="2">
          <filters>
            <filter val="189 Selgie Rd/Selegie"/>
            <filter val="33 Richard ave"/>
            <filter val="37 Poole Rd"/>
            <filter val="4 Jalan Seaview"/>
            <filter val="729 Mountbatten Rd"/>
            <filter val="99 Still Rd"/>
            <filter val="C22B HSL"/>
            <filter val="Intra ARC"/>
            <filter val="One bernam Phase I &amp; II"/>
            <filter val="RVS"/>
            <filter val="SCBD,Central Blvd"/>
            <filter val="St Thomas Walk/ 8 Thomas Walk"/>
            <filter val="Tampines Ave 10/tpaec/ Parc Central Residences"/>
            <filter val="Tampines Town Hub/ Our Tampines Hub/ OTH"/>
            <filter val="TMKL"/>
          </filters>
        </filterColumn>
        <sortState xmlns:xlrd2="http://schemas.microsoft.com/office/spreadsheetml/2017/richdata2" ref="A3:ER570">
          <sortCondition ref="A2:A570"/>
        </sortState>
      </autoFilter>
    </customSheetView>
    <customSheetView guid="{D99B2D7E-6003-4F9B-A49C-10B86F0B11D7}" scale="115" filter="1" showAutoFilter="1" hiddenColumns="1">
      <pane xSplit="1" ySplit="2" topLeftCell="B3" activePane="bottomRight" state="frozen"/>
      <selection pane="bottomRight" activeCell="BI550" sqref="BI550"/>
      <pageMargins left="0.7" right="0.7" top="0.75" bottom="0.75" header="0.3" footer="0.3"/>
      <pageSetup paperSize="9" orientation="portrait" r:id="rId34"/>
      <autoFilter ref="A2:ER570" xr:uid="{93AA631B-64CB-42E3-BD95-E0B0E41CCD36}">
        <filterColumn colId="2">
          <filters blank="1">
            <filter val="11 Jalan Jelita"/>
            <filter val="20 Clifton Vale"/>
            <filter val="21 Mount rosie road"/>
            <filter val="24 Rochalie Drive"/>
            <filter val="33 Taman Permata"/>
            <filter val="57 Kheam Hock Rd"/>
            <filter val="58 Jalan Sindor"/>
            <filter val="73 Cluny Park"/>
            <filter val="90 Fernhill Rd"/>
            <filter val="Anchorvalle Wee poh (OLA)"/>
            <filter val="C920 Newton Stn"/>
            <filter val="Mandai Lake (Zoo)"/>
            <filter val="One Canberra"/>
            <filter val="Park Nova"/>
          </filters>
        </filterColumn>
        <sortState xmlns:xlrd2="http://schemas.microsoft.com/office/spreadsheetml/2017/richdata2" ref="A3:ER570">
          <sortCondition ref="A2:A570"/>
        </sortState>
      </autoFilter>
    </customSheetView>
    <customSheetView guid="{923D7FF5-5E4F-4C91-97D7-62A4CD48413C}" scale="115" filter="1" showAutoFilter="1" hiddenColumns="1">
      <pane xSplit="1" ySplit="101" topLeftCell="B103" activePane="bottomRight" state="frozen"/>
      <selection pane="bottomRight" activeCell="EL520" sqref="EL520:EO520"/>
      <pageMargins left="0.7" right="0.7" top="0.75" bottom="0.75" header="0.3" footer="0.3"/>
      <pageSetup paperSize="9" orientation="portrait" r:id="rId35"/>
      <autoFilter ref="A2:ER570" xr:uid="{61FAE7FA-61C2-4A9F-A8F6-B90D2EE01E5A}">
        <filterColumn colId="2">
          <filters blank="1">
            <filter val="109 Faber drive"/>
            <filter val="17 Swiss Club"/>
            <filter val="18 Jalan Lim Tai See"/>
            <filter val="2 Astrid Hill"/>
            <filter val="28 Holland Green"/>
            <filter val="34 Lorong Pisang Batu"/>
            <filter val="442B Holland Road"/>
            <filter val="4A Jalan Kebaya"/>
            <filter val="61 bintong park"/>
            <filter val="64 Sunset View"/>
            <filter val="7 Allamanda grove"/>
            <filter val="C2A, TWRP"/>
            <filter val="C4A, TWRP"/>
            <filter val="C4B, TWRP"/>
            <filter val="Jln Jurong Kechil (The Hillford)"/>
            <filter val="Pioneer Walk"/>
          </filters>
        </filterColumn>
        <sortState xmlns:xlrd2="http://schemas.microsoft.com/office/spreadsheetml/2017/richdata2" ref="A3:ER570">
          <sortCondition ref="A2:A570"/>
        </sortState>
      </autoFilter>
    </customSheetView>
    <customSheetView guid="{D8461660-A8A1-4029-B386-AF511DF54195}" scale="115" filter="1" showAutoFilter="1" hiddenColumns="1">
      <selection activeCell="EP27" sqref="EP27:ES559"/>
      <pageMargins left="0.7" right="0.7" top="0.75" bottom="0.75" header="0.3" footer="0.3"/>
      <pageSetup paperSize="9" orientation="portrait" r:id="rId36"/>
      <autoFilter ref="A2:EV570" xr:uid="{204A3263-A02E-46C8-8FE4-54712D298A47}">
        <filterColumn colId="2">
          <filters blank="1">
            <filter val="1 Clacton Rd"/>
            <filter val="132 Marshall rd"/>
            <filter val="234 Tembeling Rd"/>
            <filter val="37 Poole Rd"/>
            <filter val="8 cove grove"/>
            <filter val="Bartley Rd/ The Quinn"/>
            <filter val="One KM"/>
            <filter val="RVS"/>
            <filter val="SCBD,Central Blvd"/>
            <filter val="Sennet Res Potong Pasir"/>
            <filter val="Tampines Ave 10/tpaec/ Parc Central Residences"/>
            <filter val="The Glory"/>
            <filter val="TMKL"/>
          </filters>
        </filterColumn>
        <sortState xmlns:xlrd2="http://schemas.microsoft.com/office/spreadsheetml/2017/richdata2" ref="A3:EV570">
          <sortCondition ref="A2:A570"/>
        </sortState>
      </autoFilter>
    </customSheetView>
    <customSheetView guid="{0CC99FEF-F286-4F44-806A-510E25937FC7}" filter="1" showAutoFilter="1" hiddenColumns="1">
      <selection activeCell="EP41" sqref="EP41:ES553"/>
      <pageMargins left="0.7" right="0.7" top="0.75" bottom="0.75" header="0.3" footer="0.3"/>
      <pageSetup paperSize="9" orientation="portrait" r:id="rId37"/>
      <autoFilter ref="A2:EV570" xr:uid="{FA460131-2D45-4ED6-A82A-63834C24E77D}">
        <filterColumn colId="2">
          <filters blank="1">
            <filter val="17 Dalvey Estate"/>
            <filter val="24 Rochalie Drive"/>
            <filter val="26 Dalvey Estate"/>
            <filter val="32 &amp; 34 Gilstead Road"/>
            <filter val="57 Holland Road"/>
            <filter val="57 Kheam Hock Rd"/>
            <filter val="58 Jalan Sindor"/>
            <filter val="Anchorvalle Wee poh (OLA)"/>
            <filter val="Canberra Link/Parc Canberra"/>
            <filter val="Labrador Park,UG SubStn BC1"/>
            <filter val="Mandai Lake (Zoo)"/>
            <filter val="Micron, Fab10"/>
            <filter val="Mount Sophia"/>
            <filter val="One Canberra"/>
            <filter val="Park Nova"/>
          </filters>
        </filterColumn>
        <sortState xmlns:xlrd2="http://schemas.microsoft.com/office/spreadsheetml/2017/richdata2" ref="A3:EV570">
          <sortCondition ref="A2:A570"/>
        </sortState>
      </autoFilter>
    </customSheetView>
    <customSheetView guid="{FDAC35F8-EF57-429C-9E04-D227826D1E27}" scale="96" showGridLines="0" filter="1" showAutoFilter="1" hiddenColumns="1">
      <pane xSplit="3" ySplit="2" topLeftCell="BI3" activePane="bottomRight" state="frozen"/>
      <selection pane="bottomRight" activeCell="BM563" sqref="BM563"/>
      <pageMargins left="0.7" right="0.7" top="0.75" bottom="0.75" header="0.3" footer="0.3"/>
      <pageSetup paperSize="9" orientation="portrait" r:id="rId38"/>
      <autoFilter ref="A2:FL581" xr:uid="{F091DE5E-98E1-410D-9240-3B163A997B76}">
        <filterColumn colId="2">
          <filters blank="1">
            <filter val="234 Tembeling Rd"/>
            <filter val="29 Sea Ave"/>
            <filter val="37 Poole Rd"/>
            <filter val="59 Hythe Rd"/>
            <filter val="681 Geylang Road"/>
            <filter val="70 Branksome Rd"/>
            <filter val="One bernam Phase I &amp; II"/>
            <filter val="RVS"/>
            <filter val="Sennet Res Potong Pasir"/>
            <filter val="St Thomas Walk/ 8 Thomas Walk"/>
            <filter val="T2C CSW"/>
            <filter val="Tampines Ave 10/tpaec/ Parc Central Residences"/>
          </filters>
        </filterColumn>
        <sortState xmlns:xlrd2="http://schemas.microsoft.com/office/spreadsheetml/2017/richdata2" ref="A3:FL581">
          <sortCondition ref="A2:A581"/>
        </sortState>
      </autoFilter>
    </customSheetView>
    <customSheetView guid="{9B45B383-4A11-4C7D-915F-F34A3F26EDA9}" scale="96" showGridLines="0" filter="1" showAutoFilter="1" hiddenColumns="1">
      <selection activeCell="FF168" sqref="FF168:FI550"/>
      <pageMargins left="0.7" right="0.7" top="0.75" bottom="0.75" header="0.3" footer="0.3"/>
      <pageSetup paperSize="9" orientation="portrait" r:id="rId39"/>
      <autoFilter ref="A2:FL581" xr:uid="{ECC5250B-A5A1-46F6-B6F4-C13FA8FC372A}">
        <filterColumn colId="2">
          <filters>
            <filter val="11 Jalan Jelita"/>
            <filter val="24 Rochalie Drive"/>
            <filter val="32 &amp; 34 Gilstead Road"/>
            <filter val="42 Alexandra Terrace"/>
            <filter val="57 Holland Road"/>
            <filter val="73 Cluny Park"/>
            <filter val="88 Binjai Park"/>
            <filter val="Canberra Link/Parc Canberra"/>
            <filter val="Labrador UG SubStn BC2"/>
            <filter val="One Canberra"/>
            <filter val="Stirling Rd/ 28 Alexandra View"/>
            <filter val="Yio Chu Kang Rd/YCKEC/Hundred Palms"/>
          </filters>
        </filterColumn>
        <sortState xmlns:xlrd2="http://schemas.microsoft.com/office/spreadsheetml/2017/richdata2" ref="A3:FL581">
          <sortCondition ref="A2:A581"/>
        </sortState>
      </autoFilter>
    </customSheetView>
    <customSheetView guid="{42312AD8-D830-4E9B-A2C0-10B802282691}" scale="96" showGridLines="0" filter="1" showAutoFilter="1" hiddenColumns="1">
      <selection activeCell="FF258" sqref="FF258:FI569"/>
      <pageMargins left="0.7" right="0.7" top="0.75" bottom="0.75" header="0.3" footer="0.3"/>
      <pageSetup paperSize="9" orientation="portrait" r:id="rId40"/>
      <autoFilter ref="A2:FL581" xr:uid="{1D3C8EDA-B81C-4C4A-9913-713823F15DFD}">
        <filterColumn colId="2">
          <filters blank="1">
            <filter val="24 Coronation Road"/>
            <filter val="C2A, TWRP"/>
            <filter val="C4A, TWRP"/>
            <filter val="C4B, TWRP"/>
            <filter val="Kampong buggis"/>
            <filter val="SJ Campus"/>
            <filter val="Sora Condo"/>
          </filters>
        </filterColumn>
        <sortState xmlns:xlrd2="http://schemas.microsoft.com/office/spreadsheetml/2017/richdata2" ref="A3:FL581">
          <sortCondition ref="A2:A581"/>
        </sortState>
      </autoFilter>
    </customSheetView>
  </customSheetViews>
  <mergeCells count="27">
    <mergeCell ref="A3:G3"/>
    <mergeCell ref="H3:J3"/>
    <mergeCell ref="K3:L3"/>
    <mergeCell ref="N3:AC3"/>
    <mergeCell ref="CJ6:CM6"/>
    <mergeCell ref="U6:W6"/>
    <mergeCell ref="BD6:BG6"/>
    <mergeCell ref="AJ6:AM6"/>
    <mergeCell ref="AR6:AU6"/>
    <mergeCell ref="CF6:CI6"/>
    <mergeCell ref="BT6:BW6"/>
    <mergeCell ref="X6:Z6"/>
    <mergeCell ref="R6:T6"/>
    <mergeCell ref="O6:Q6"/>
    <mergeCell ref="AE3:CM3"/>
    <mergeCell ref="A1:N1"/>
    <mergeCell ref="AN6:AQ6"/>
    <mergeCell ref="CB6:CE6"/>
    <mergeCell ref="AA6:AC6"/>
    <mergeCell ref="BX6:CA6"/>
    <mergeCell ref="BP6:BS6"/>
    <mergeCell ref="BL6:BO6"/>
    <mergeCell ref="AZ6:BC6"/>
    <mergeCell ref="AE6:AI6"/>
    <mergeCell ref="AV6:AY6"/>
    <mergeCell ref="BH6:BK6"/>
    <mergeCell ref="CO3:CR3"/>
  </mergeCells>
  <phoneticPr fontId="2" type="noConversion"/>
  <conditionalFormatting sqref="E8:F1048576">
    <cfRule type="expression" dxfId="2" priority="2">
      <formula>AND(E8&lt;&gt;"",NOT(ISNUMBER(E8)))</formula>
    </cfRule>
  </conditionalFormatting>
  <conditionalFormatting sqref="L24:L1048576 M7:M23">
    <cfRule type="cellIs" dxfId="1" priority="8" operator="lessThan">
      <formula>0</formula>
    </cfRule>
  </conditionalFormatting>
  <conditionalFormatting sqref="M8:M1048576">
    <cfRule type="expression" dxfId="0" priority="1">
      <formula>AND(M8&lt;&gt;"",NOT(ISNUMBER(M8)))</formula>
    </cfRule>
  </conditionalFormatting>
  <pageMargins left="0.7" right="0.7" top="0.75" bottom="0.75" header="0.3" footer="0.3"/>
  <pageSetup paperSize="9" orientation="portrait" r:id="rId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B093-2AE3-42F5-A240-139B133C5324}">
  <dimension ref="A3:J15"/>
  <sheetViews>
    <sheetView showGridLines="0" zoomScale="85" zoomScaleNormal="85" workbookViewId="0">
      <selection activeCell="L26" sqref="L26"/>
    </sheetView>
  </sheetViews>
  <sheetFormatPr defaultRowHeight="15" x14ac:dyDescent="0.25"/>
  <cols>
    <col min="1" max="1" width="14.140625" bestFit="1" customWidth="1"/>
    <col min="7" max="7" width="11.85546875" bestFit="1" customWidth="1"/>
    <col min="8" max="8" width="10.85546875" bestFit="1" customWidth="1"/>
    <col min="9" max="9" width="11.85546875" bestFit="1" customWidth="1"/>
    <col min="10" max="10" width="9.140625" bestFit="1" customWidth="1"/>
    <col min="14" max="14" width="44.85546875" customWidth="1"/>
    <col min="15" max="15" width="22.85546875" customWidth="1"/>
  </cols>
  <sheetData>
    <row r="3" spans="1:10" x14ac:dyDescent="0.25">
      <c r="A3" s="4" t="s">
        <v>67</v>
      </c>
      <c r="B3" s="4" t="s">
        <v>64</v>
      </c>
      <c r="C3" s="4" t="s">
        <v>52</v>
      </c>
      <c r="D3" s="4" t="s">
        <v>65</v>
      </c>
      <c r="E3" s="4" t="s">
        <v>66</v>
      </c>
      <c r="F3" s="4" t="s">
        <v>68</v>
      </c>
      <c r="G3" s="4" t="s">
        <v>64</v>
      </c>
      <c r="H3" s="4" t="s">
        <v>52</v>
      </c>
      <c r="I3" s="4" t="s">
        <v>65</v>
      </c>
      <c r="J3" s="4" t="s">
        <v>66</v>
      </c>
    </row>
    <row r="4" spans="1:10" x14ac:dyDescent="0.25">
      <c r="A4" s="36">
        <v>45658</v>
      </c>
      <c r="B4">
        <f>SUM('Repair Analysis Report'!AR:AR)</f>
        <v>9789</v>
      </c>
      <c r="C4">
        <f>SUM('Repair Analysis Report'!AS:AS)</f>
        <v>1849</v>
      </c>
      <c r="D4">
        <f>SUM('Repair Analysis Report'!AT:AT)</f>
        <v>2336</v>
      </c>
      <c r="E4">
        <f>SUM('Repair Analysis Report'!AU:AU)</f>
        <v>20</v>
      </c>
      <c r="F4" s="37" t="s">
        <v>22</v>
      </c>
      <c r="G4" s="22">
        <f>SUM(B4:B6)</f>
        <v>29880</v>
      </c>
      <c r="H4" s="22">
        <f t="shared" ref="H4:J4" si="0">SUM(C4:C6)</f>
        <v>7030</v>
      </c>
      <c r="I4" s="22">
        <f t="shared" si="0"/>
        <v>10654</v>
      </c>
      <c r="J4" s="22">
        <f t="shared" si="0"/>
        <v>23</v>
      </c>
    </row>
    <row r="5" spans="1:10" x14ac:dyDescent="0.25">
      <c r="A5" s="36">
        <v>45689</v>
      </c>
      <c r="B5">
        <f>SUM('Repair Analysis Report'!AV:AV)</f>
        <v>8849</v>
      </c>
      <c r="C5">
        <f>SUM('Repair Analysis Report'!AW:AW)</f>
        <v>2980</v>
      </c>
      <c r="D5">
        <f>SUM('Repair Analysis Report'!AX:AX)</f>
        <v>2494</v>
      </c>
      <c r="E5">
        <f>SUM('Repair Analysis Report'!AY:AY)</f>
        <v>2</v>
      </c>
      <c r="F5" s="36"/>
      <c r="G5" s="16"/>
      <c r="H5" s="16"/>
      <c r="I5" s="16"/>
      <c r="J5" s="16"/>
    </row>
    <row r="6" spans="1:10" x14ac:dyDescent="0.25">
      <c r="A6" s="36">
        <v>45717</v>
      </c>
      <c r="B6">
        <f>SUM('Repair Analysis Report'!AZ:AZ)</f>
        <v>11242</v>
      </c>
      <c r="C6">
        <f>SUM('Repair Analysis Report'!BA:BA)</f>
        <v>2201</v>
      </c>
      <c r="D6">
        <f>SUM('Repair Analysis Report'!BB:BB)</f>
        <v>5824</v>
      </c>
      <c r="E6">
        <f>SUM('Repair Analysis Report'!BC:BC)</f>
        <v>1</v>
      </c>
      <c r="F6" s="36"/>
      <c r="G6" s="16"/>
      <c r="H6" s="16"/>
      <c r="I6" s="16"/>
      <c r="J6" s="16"/>
    </row>
    <row r="7" spans="1:10" x14ac:dyDescent="0.25">
      <c r="A7" s="36">
        <v>45748</v>
      </c>
      <c r="B7">
        <f>SUM('Repair Analysis Report'!BD:BD)</f>
        <v>5335</v>
      </c>
      <c r="C7">
        <f>SUM('Repair Analysis Report'!BE:BE)</f>
        <v>452</v>
      </c>
      <c r="D7">
        <f>SUM('Repair Analysis Report'!BF:BF)</f>
        <v>1517</v>
      </c>
      <c r="E7">
        <f>SUM('Repair Analysis Report'!BG:BG)</f>
        <v>2</v>
      </c>
      <c r="F7" t="s">
        <v>23</v>
      </c>
      <c r="G7" s="22">
        <f>SUM(B7:B9)</f>
        <v>10302</v>
      </c>
      <c r="H7" s="22">
        <f>SUM(C7:C9)</f>
        <v>1644</v>
      </c>
      <c r="I7" s="22">
        <f t="shared" ref="I7:J7" si="1">SUM(D7:D9)</f>
        <v>4388</v>
      </c>
      <c r="J7" s="22">
        <f t="shared" si="1"/>
        <v>2</v>
      </c>
    </row>
    <row r="8" spans="1:10" x14ac:dyDescent="0.25">
      <c r="A8" s="36">
        <v>45778</v>
      </c>
      <c r="B8">
        <f>SUM('Repair Analysis Report'!BH:BH)</f>
        <v>3073</v>
      </c>
      <c r="C8">
        <f>SUM('Repair Analysis Report'!BI:BI)</f>
        <v>1060</v>
      </c>
      <c r="D8">
        <f>SUM('Repair Analysis Report'!BJ:BJ)</f>
        <v>2247</v>
      </c>
      <c r="E8">
        <f>SUM('Repair Analysis Report'!BK:BK)</f>
        <v>0</v>
      </c>
    </row>
    <row r="9" spans="1:10" x14ac:dyDescent="0.25">
      <c r="A9" s="36">
        <v>45809</v>
      </c>
      <c r="B9">
        <f>SUM('Repair Analysis Report'!BL:BL)</f>
        <v>1894</v>
      </c>
      <c r="C9">
        <f>SUM('Repair Analysis Report'!BM:BM)</f>
        <v>132</v>
      </c>
      <c r="D9">
        <f>SUM('Repair Analysis Report'!BN:BN)</f>
        <v>624</v>
      </c>
      <c r="E9">
        <f>SUM('Repair Analysis Report'!BO:BO)</f>
        <v>0</v>
      </c>
    </row>
    <row r="10" spans="1:10" x14ac:dyDescent="0.25">
      <c r="A10" s="36">
        <v>45839</v>
      </c>
      <c r="B10">
        <f>SUM('Repair Analysis Report'!BP:BP)</f>
        <v>3143</v>
      </c>
      <c r="C10">
        <f>SUM('Repair Analysis Report'!BQ:BQ)</f>
        <v>925</v>
      </c>
      <c r="D10">
        <f>SUM('Repair Analysis Report'!BR:BR)</f>
        <v>5196</v>
      </c>
      <c r="E10">
        <f>SUM('Repair Analysis Report'!BS:BS)</f>
        <v>2</v>
      </c>
      <c r="F10" t="s">
        <v>24</v>
      </c>
      <c r="G10">
        <f>SUM(B10:B12)</f>
        <v>10208</v>
      </c>
      <c r="H10">
        <f t="shared" ref="H10:J10" si="2">SUM(C10:C12)</f>
        <v>2114</v>
      </c>
      <c r="I10">
        <f t="shared" si="2"/>
        <v>16239</v>
      </c>
      <c r="J10">
        <f t="shared" si="2"/>
        <v>16</v>
      </c>
    </row>
    <row r="11" spans="1:10" x14ac:dyDescent="0.25">
      <c r="A11" s="36">
        <v>45870</v>
      </c>
      <c r="B11">
        <f>SUM('Repair Analysis Report'!BT:BT)</f>
        <v>5097</v>
      </c>
      <c r="C11">
        <f>SUM('Repair Analysis Report'!BU:BU)</f>
        <v>968</v>
      </c>
      <c r="D11">
        <f>SUM('Repair Analysis Report'!BV:BV)</f>
        <v>7773</v>
      </c>
      <c r="E11">
        <f>SUM('Repair Analysis Report'!BW:BW)</f>
        <v>0</v>
      </c>
    </row>
    <row r="12" spans="1:10" x14ac:dyDescent="0.25">
      <c r="A12" s="36">
        <v>45901</v>
      </c>
      <c r="B12">
        <f>SUM('Repair Analysis Report'!BX:BX)</f>
        <v>1968</v>
      </c>
      <c r="C12">
        <f>SUM('Repair Analysis Report'!BY:BY)</f>
        <v>221</v>
      </c>
      <c r="D12">
        <f>SUM('Repair Analysis Report'!BZ:BZ)</f>
        <v>3270</v>
      </c>
      <c r="E12">
        <f>SUM('Repair Analysis Report'!CA:CA)</f>
        <v>14</v>
      </c>
    </row>
    <row r="13" spans="1:10" x14ac:dyDescent="0.25">
      <c r="A13" s="36">
        <v>45931</v>
      </c>
      <c r="B13">
        <f>SUM('Repair Analysis Report'!CB:CB)</f>
        <v>2181</v>
      </c>
      <c r="C13">
        <f>SUM('Repair Analysis Report'!CC:CC)</f>
        <v>831</v>
      </c>
      <c r="D13">
        <f>SUM('Repair Analysis Report'!CD:CD)</f>
        <v>3380</v>
      </c>
      <c r="E13">
        <f>SUM('Repair Analysis Report'!CE:CE)</f>
        <v>68</v>
      </c>
      <c r="F13" t="s">
        <v>25</v>
      </c>
      <c r="G13">
        <f>SUM(B13:B15)</f>
        <v>9794</v>
      </c>
      <c r="H13">
        <f t="shared" ref="H13:J13" si="3">SUM(C13:C15)</f>
        <v>2600</v>
      </c>
      <c r="I13">
        <f t="shared" si="3"/>
        <v>17363</v>
      </c>
      <c r="J13">
        <f t="shared" si="3"/>
        <v>217</v>
      </c>
    </row>
    <row r="14" spans="1:10" x14ac:dyDescent="0.25">
      <c r="A14" s="36">
        <v>45962</v>
      </c>
      <c r="B14">
        <f>SUM('Repair Analysis Report'!CF:CF)</f>
        <v>2284</v>
      </c>
      <c r="C14">
        <f>SUM('Repair Analysis Report'!CG:CG)</f>
        <v>1118</v>
      </c>
      <c r="D14">
        <f>SUM('Repair Analysis Report'!CH:CH)</f>
        <v>5245</v>
      </c>
      <c r="E14">
        <f>SUM('Repair Analysis Report'!CI:CI)</f>
        <v>93</v>
      </c>
    </row>
    <row r="15" spans="1:10" x14ac:dyDescent="0.25">
      <c r="A15" s="36">
        <v>45992</v>
      </c>
      <c r="B15">
        <f>SUM('Repair Analysis Report'!CJ:CJ)</f>
        <v>5329</v>
      </c>
      <c r="C15">
        <f>SUM('Repair Analysis Report'!CK:CK)</f>
        <v>651</v>
      </c>
      <c r="D15">
        <f>SUM('Repair Analysis Report'!CL:CL)</f>
        <v>8738</v>
      </c>
      <c r="E15">
        <f>SUM('Repair Analysis Report'!CM:CM)</f>
        <v>56</v>
      </c>
    </row>
  </sheetData>
  <customSheetViews>
    <customSheetView guid="{00619EF7-C515-429F-AB3D-5DC348832EDA}" showGridLines="0" topLeftCell="A19">
      <selection activeCell="Q47" sqref="Q47"/>
      <pageMargins left="0.7" right="0.7" top="0.75" bottom="0.75" header="0.3" footer="0.3"/>
    </customSheetView>
    <customSheetView guid="{64FD67D6-D868-479E-90CE-70272FB960D9}" showGridLines="0" topLeftCell="A19">
      <selection activeCell="Q47" sqref="Q47"/>
      <pageMargins left="0.7" right="0.7" top="0.75" bottom="0.75" header="0.3" footer="0.3"/>
    </customSheetView>
    <customSheetView guid="{026E5010-F5BA-4F98-B34C-EB528F227AC7}" showGridLines="0" topLeftCell="A19">
      <selection activeCell="Q47" sqref="Q47"/>
      <pageMargins left="0.7" right="0.7" top="0.75" bottom="0.75" header="0.3" footer="0.3"/>
    </customSheetView>
    <customSheetView guid="{7A9CC306-38C7-48CD-8B78-93CD2EC556BF}" showGridLines="0" topLeftCell="A19">
      <selection activeCell="Q47" sqref="Q47"/>
      <pageMargins left="0.7" right="0.7" top="0.75" bottom="0.75" header="0.3" footer="0.3"/>
    </customSheetView>
    <customSheetView guid="{AB8B12FE-939F-4B6A-AE4A-A20F448211BF}" showGridLines="0" topLeftCell="A19">
      <selection activeCell="Q47" sqref="Q47"/>
      <pageMargins left="0.7" right="0.7" top="0.75" bottom="0.75" header="0.3" footer="0.3"/>
    </customSheetView>
    <customSheetView guid="{4DF3C604-4BB6-48E8-9666-B0473E169111}" showGridLines="0" topLeftCell="A19">
      <selection activeCell="Q47" sqref="Q47"/>
      <pageMargins left="0.7" right="0.7" top="0.75" bottom="0.75" header="0.3" footer="0.3"/>
    </customSheetView>
    <customSheetView guid="{8083EE3B-9D7C-4D56-B77A-A960804520EE}" scale="95" showGridLines="0" topLeftCell="A14">
      <selection activeCell="G40" sqref="G40"/>
      <pageMargins left="0.7" right="0.7" top="0.75" bottom="0.75" header="0.3" footer="0.3"/>
    </customSheetView>
    <customSheetView guid="{8AA99AFC-1349-4A3C-8081-CB4E69606337}" scale="95" showGridLines="0" topLeftCell="A14">
      <selection activeCell="G40" sqref="G40"/>
      <pageMargins left="0.7" right="0.7" top="0.75" bottom="0.75" header="0.3" footer="0.3"/>
    </customSheetView>
    <customSheetView guid="{74A84572-5AA8-456C-AFB1-EC122EE6654F}" scale="95" showGridLines="0" topLeftCell="A14">
      <selection activeCell="G40" sqref="G40"/>
      <pageMargins left="0.7" right="0.7" top="0.75" bottom="0.75" header="0.3" footer="0.3"/>
    </customSheetView>
    <customSheetView guid="{E6241EC7-9283-496B-A8EF-76698C197BC4}" scale="95" showGridLines="0" topLeftCell="A14">
      <selection activeCell="G40" sqref="G40"/>
      <pageMargins left="0.7" right="0.7" top="0.75" bottom="0.75" header="0.3" footer="0.3"/>
    </customSheetView>
    <customSheetView guid="{5BAC5B51-8110-4865-BACE-7450C4EB6816}" scale="85" topLeftCell="A17">
      <selection activeCell="J37" sqref="J37"/>
      <pageMargins left="0.7" right="0.7" top="0.75" bottom="0.75" header="0.3" footer="0.3"/>
    </customSheetView>
    <customSheetView guid="{33CCA4DB-7E6D-40A2-9FB7-F754C24501AF}" scale="85" topLeftCell="A17">
      <selection activeCell="J37" sqref="J37"/>
      <pageMargins left="0.7" right="0.7" top="0.75" bottom="0.75" header="0.3" footer="0.3"/>
    </customSheetView>
    <customSheetView guid="{168C3DC8-33EA-4ABF-BF57-E0694FDBF89D}" scale="85" topLeftCell="A17">
      <selection activeCell="J37" sqref="J37"/>
      <pageMargins left="0.7" right="0.7" top="0.75" bottom="0.75" header="0.3" footer="0.3"/>
    </customSheetView>
    <customSheetView guid="{F285276A-A53D-4EC6-A0F2-E3AEE40DC067}" scale="130">
      <selection activeCell="B17" sqref="B17:E17"/>
      <pageMargins left="0.7" right="0.7" top="0.75" bottom="0.75" header="0.3" footer="0.3"/>
    </customSheetView>
    <customSheetView guid="{B033AA07-7600-4EBC-9390-00AF71C0C5C7}" scale="130">
      <selection activeCell="B17" sqref="B17:E17"/>
      <pageMargins left="0.7" right="0.7" top="0.75" bottom="0.75" header="0.3" footer="0.3"/>
    </customSheetView>
    <customSheetView guid="{679661BB-2F00-4133-9B3E-75FC7FF3A6D5}" scale="130">
      <selection activeCell="B17" sqref="B17:E17"/>
      <pageMargins left="0.7" right="0.7" top="0.75" bottom="0.75" header="0.3" footer="0.3"/>
    </customSheetView>
    <customSheetView guid="{19CD7DDC-F1EF-4FD6-99F9-814D645F6529}" scale="130" topLeftCell="A8">
      <selection activeCell="F20" sqref="F20"/>
      <pageMargins left="0.7" right="0.7" top="0.75" bottom="0.75" header="0.3" footer="0.3"/>
    </customSheetView>
    <customSheetView guid="{BB2D0014-8EA3-4DB5-98B4-090AA1B65C8B}" scale="130">
      <selection activeCell="F20" sqref="F20"/>
      <pageMargins left="0.7" right="0.7" top="0.75" bottom="0.75" header="0.3" footer="0.3"/>
    </customSheetView>
    <customSheetView guid="{C1D6F20C-00F0-4542-9335-3FE773FF0899}" scale="85">
      <selection activeCell="E20" sqref="E20"/>
      <pageMargins left="0.7" right="0.7" top="0.75" bottom="0.75" header="0.3" footer="0.3"/>
    </customSheetView>
    <customSheetView guid="{C17405CA-25CB-4A19-898F-2B194E860742}" scale="85">
      <selection activeCell="E20" sqref="E20"/>
      <pageMargins left="0.7" right="0.7" top="0.75" bottom="0.75" header="0.3" footer="0.3"/>
    </customSheetView>
    <customSheetView guid="{9B154695-ADDF-4215-9F26-0FEFB78065DF}" scale="85">
      <selection activeCell="E20" sqref="E20"/>
      <pageMargins left="0.7" right="0.7" top="0.75" bottom="0.75" header="0.3" footer="0.3"/>
    </customSheetView>
    <customSheetView guid="{58B9F895-ACC5-4E88-A55B-4085AE08B31B}" scale="85">
      <selection activeCell="E20" sqref="E20"/>
      <pageMargins left="0.7" right="0.7" top="0.75" bottom="0.75" header="0.3" footer="0.3"/>
    </customSheetView>
    <customSheetView guid="{8108BC44-82A1-4E56-9E62-271977972115}" scale="130">
      <selection activeCell="B17" sqref="B17:E17"/>
      <pageMargins left="0.7" right="0.7" top="0.75" bottom="0.75" header="0.3" footer="0.3"/>
    </customSheetView>
    <customSheetView guid="{B62B9B7D-6C30-458E-B069-A0BD875BB6FA}" scale="130">
      <selection activeCell="B17" sqref="B17:E17"/>
      <pageMargins left="0.7" right="0.7" top="0.75" bottom="0.75" header="0.3" footer="0.3"/>
    </customSheetView>
    <customSheetView guid="{21DB1A4B-D333-4155-AB5A-9BC5572CF5DF}" scale="130">
      <selection activeCell="B17" sqref="B17:E17"/>
      <pageMargins left="0.7" right="0.7" top="0.75" bottom="0.75" header="0.3" footer="0.3"/>
    </customSheetView>
    <customSheetView guid="{89F57732-B161-4DB9-80F0-52C11809EAEF}" scale="130">
      <selection activeCell="B17" sqref="B17:E17"/>
      <pageMargins left="0.7" right="0.7" top="0.75" bottom="0.75" header="0.3" footer="0.3"/>
    </customSheetView>
    <customSheetView guid="{4DB73DCD-46D8-4B02-9B2D-2F6EFB90B188}" scale="85" topLeftCell="A17">
      <selection activeCell="J37" sqref="J37"/>
      <pageMargins left="0.7" right="0.7" top="0.75" bottom="0.75" header="0.3" footer="0.3"/>
    </customSheetView>
    <customSheetView guid="{5A29B769-F6C0-4A5A-BE26-EA346E1F7A1A}" scale="85" topLeftCell="A17">
      <selection activeCell="J37" sqref="J37"/>
      <pageMargins left="0.7" right="0.7" top="0.75" bottom="0.75" header="0.3" footer="0.3"/>
    </customSheetView>
    <customSheetView guid="{3700F944-6C76-45D8-B8B7-C6BD0C9FF627}" scale="85" topLeftCell="A17">
      <selection activeCell="J37" sqref="J37"/>
      <pageMargins left="0.7" right="0.7" top="0.75" bottom="0.75" header="0.3" footer="0.3"/>
    </customSheetView>
    <customSheetView guid="{AC8F372D-ADA3-4FFA-BD46-B21B64A85128}" scale="85" topLeftCell="B17">
      <selection activeCell="J37" sqref="J37"/>
      <pageMargins left="0.7" right="0.7" top="0.75" bottom="0.75" header="0.3" footer="0.3"/>
    </customSheetView>
    <customSheetView guid="{ABC5E241-99E1-480D-8F7F-79A320B7EE5F}" scale="85" topLeftCell="B17">
      <selection activeCell="J37" sqref="J37"/>
      <pageMargins left="0.7" right="0.7" top="0.75" bottom="0.75" header="0.3" footer="0.3"/>
    </customSheetView>
    <customSheetView guid="{03C3983D-0727-4E6A-BC5D-01E139585FE6}" scale="85" topLeftCell="B17">
      <selection activeCell="J37" sqref="J37"/>
      <pageMargins left="0.7" right="0.7" top="0.75" bottom="0.75" header="0.3" footer="0.3"/>
    </customSheetView>
    <customSheetView guid="{E055FEAB-A6BC-4F63-8CB2-3FBA272441AC}" scale="95" showGridLines="0" topLeftCell="A14">
      <selection activeCell="G40" sqref="G40"/>
      <pageMargins left="0.7" right="0.7" top="0.75" bottom="0.75" header="0.3" footer="0.3"/>
    </customSheetView>
    <customSheetView guid="{D99B2D7E-6003-4F9B-A49C-10B86F0B11D7}" scale="95" showGridLines="0" topLeftCell="A14">
      <selection activeCell="G40" sqref="G40"/>
      <pageMargins left="0.7" right="0.7" top="0.75" bottom="0.75" header="0.3" footer="0.3"/>
    </customSheetView>
    <customSheetView guid="{923D7FF5-5E4F-4C91-97D7-62A4CD48413C}" scale="95" showGridLines="0" topLeftCell="A14">
      <selection activeCell="G40" sqref="G40"/>
      <pageMargins left="0.7" right="0.7" top="0.75" bottom="0.75" header="0.3" footer="0.3"/>
    </customSheetView>
    <customSheetView guid="{D8461660-A8A1-4029-B386-AF511DF54195}" scale="95" showGridLines="0" topLeftCell="A14">
      <selection activeCell="G40" sqref="G40"/>
      <pageMargins left="0.7" right="0.7" top="0.75" bottom="0.75" header="0.3" footer="0.3"/>
    </customSheetView>
    <customSheetView guid="{0CC99FEF-F286-4F44-806A-510E25937FC7}" scale="95" showGridLines="0" topLeftCell="A14">
      <selection activeCell="G40" sqref="G40"/>
      <pageMargins left="0.7" right="0.7" top="0.75" bottom="0.75" header="0.3" footer="0.3"/>
    </customSheetView>
    <customSheetView guid="{FDAC35F8-EF57-429C-9E04-D227826D1E27}" showGridLines="0" topLeftCell="A19">
      <selection activeCell="Q47" sqref="Q47"/>
      <pageMargins left="0.7" right="0.7" top="0.75" bottom="0.75" header="0.3" footer="0.3"/>
    </customSheetView>
    <customSheetView guid="{9B45B383-4A11-4C7D-915F-F34A3F26EDA9}" showGridLines="0" topLeftCell="A19">
      <selection activeCell="Q47" sqref="Q47"/>
      <pageMargins left="0.7" right="0.7" top="0.75" bottom="0.75" header="0.3" footer="0.3"/>
    </customSheetView>
    <customSheetView guid="{42312AD8-D830-4E9B-A2C0-10B802282691}" showGridLines="0" topLeftCell="A19">
      <selection activeCell="Q47" sqref="Q47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265F-3519-41F4-AD22-FF4516F01FFF}">
  <dimension ref="B1:C55"/>
  <sheetViews>
    <sheetView zoomScale="85" zoomScaleNormal="85" workbookViewId="0">
      <selection activeCell="E28" sqref="E28"/>
    </sheetView>
  </sheetViews>
  <sheetFormatPr defaultRowHeight="15" x14ac:dyDescent="0.25"/>
  <cols>
    <col min="1" max="1" width="13.42578125" bestFit="1" customWidth="1"/>
    <col min="2" max="2" width="16.42578125" style="22" bestFit="1" customWidth="1"/>
    <col min="3" max="3" width="9" bestFit="1" customWidth="1"/>
    <col min="4" max="4" width="16.140625" bestFit="1" customWidth="1"/>
    <col min="5" max="5" width="11" bestFit="1" customWidth="1"/>
    <col min="6" max="6" width="7.7109375" bestFit="1" customWidth="1"/>
    <col min="7" max="7" width="15.140625" bestFit="1" customWidth="1"/>
    <col min="9" max="9" width="15.7109375" bestFit="1" customWidth="1"/>
    <col min="10" max="10" width="10.7109375" bestFit="1" customWidth="1"/>
  </cols>
  <sheetData>
    <row r="1" spans="2:3" x14ac:dyDescent="0.25">
      <c r="B1"/>
    </row>
    <row r="2" spans="2:3" x14ac:dyDescent="0.25">
      <c r="B2"/>
    </row>
    <row r="6" spans="2:3" x14ac:dyDescent="0.25">
      <c r="B6" s="33" t="s">
        <v>61</v>
      </c>
      <c r="C6" t="s">
        <v>79</v>
      </c>
    </row>
    <row r="7" spans="2:3" x14ac:dyDescent="0.25">
      <c r="B7"/>
    </row>
    <row r="8" spans="2:3" x14ac:dyDescent="0.25">
      <c r="B8" s="33" t="s">
        <v>59</v>
      </c>
      <c r="C8" t="s">
        <v>88</v>
      </c>
    </row>
    <row r="9" spans="2:3" x14ac:dyDescent="0.25">
      <c r="B9" s="11" t="s">
        <v>35</v>
      </c>
      <c r="C9" s="35">
        <v>19100</v>
      </c>
    </row>
    <row r="10" spans="2:3" x14ac:dyDescent="0.25">
      <c r="B10" s="11" t="s">
        <v>36</v>
      </c>
      <c r="C10" s="35">
        <v>19700</v>
      </c>
    </row>
    <row r="11" spans="2:3" x14ac:dyDescent="0.25">
      <c r="B11" s="11" t="s">
        <v>37</v>
      </c>
      <c r="C11" s="35">
        <v>22200</v>
      </c>
    </row>
    <row r="12" spans="2:3" x14ac:dyDescent="0.25">
      <c r="B12" s="11" t="s">
        <v>26</v>
      </c>
      <c r="C12" s="35">
        <v>15900</v>
      </c>
    </row>
    <row r="13" spans="2:3" x14ac:dyDescent="0.25">
      <c r="B13" s="11" t="s">
        <v>27</v>
      </c>
      <c r="C13" s="35">
        <v>19700</v>
      </c>
    </row>
    <row r="14" spans="2:3" x14ac:dyDescent="0.25">
      <c r="B14" s="11" t="s">
        <v>28</v>
      </c>
      <c r="C14" s="35">
        <v>22500</v>
      </c>
    </row>
    <row r="15" spans="2:3" x14ac:dyDescent="0.25">
      <c r="B15" s="11" t="s">
        <v>29</v>
      </c>
      <c r="C15" s="35">
        <v>28200</v>
      </c>
    </row>
    <row r="16" spans="2:3" x14ac:dyDescent="0.25">
      <c r="B16" s="11" t="s">
        <v>30</v>
      </c>
      <c r="C16" s="35">
        <v>24000</v>
      </c>
    </row>
    <row r="17" spans="2:3" x14ac:dyDescent="0.25">
      <c r="B17" s="11" t="s">
        <v>74</v>
      </c>
      <c r="C17" s="35">
        <v>13500</v>
      </c>
    </row>
    <row r="18" spans="2:3" x14ac:dyDescent="0.25">
      <c r="B18" s="11" t="s">
        <v>32</v>
      </c>
      <c r="C18" s="35">
        <v>12900</v>
      </c>
    </row>
    <row r="19" spans="2:3" x14ac:dyDescent="0.25">
      <c r="B19" s="11" t="s">
        <v>33</v>
      </c>
      <c r="C19" s="35">
        <v>13700</v>
      </c>
    </row>
    <row r="20" spans="2:3" x14ac:dyDescent="0.25">
      <c r="B20" s="11" t="s">
        <v>34</v>
      </c>
      <c r="C20" s="35">
        <v>30000</v>
      </c>
    </row>
    <row r="21" spans="2:3" x14ac:dyDescent="0.25">
      <c r="B21" s="11" t="s">
        <v>60</v>
      </c>
      <c r="C21" s="35">
        <v>241400</v>
      </c>
    </row>
    <row r="22" spans="2:3" x14ac:dyDescent="0.25">
      <c r="B22"/>
    </row>
    <row r="23" spans="2:3" x14ac:dyDescent="0.25">
      <c r="B23" s="11"/>
      <c r="C23" s="35"/>
    </row>
    <row r="24" spans="2:3" x14ac:dyDescent="0.25">
      <c r="B24" s="11"/>
      <c r="C24" s="35"/>
    </row>
    <row r="25" spans="2:3" x14ac:dyDescent="0.25">
      <c r="B25" s="11"/>
      <c r="C25" s="35"/>
    </row>
    <row r="26" spans="2:3" x14ac:dyDescent="0.25">
      <c r="B26" s="11"/>
      <c r="C26" s="35"/>
    </row>
    <row r="27" spans="2:3" x14ac:dyDescent="0.25">
      <c r="B27" s="11"/>
      <c r="C27" s="35"/>
    </row>
    <row r="28" spans="2:3" x14ac:dyDescent="0.25">
      <c r="B28" s="11"/>
      <c r="C28" s="35"/>
    </row>
    <row r="29" spans="2:3" x14ac:dyDescent="0.25">
      <c r="B29" s="11"/>
      <c r="C29" s="35"/>
    </row>
    <row r="30" spans="2:3" x14ac:dyDescent="0.25">
      <c r="B30" s="11"/>
      <c r="C30" s="35"/>
    </row>
    <row r="31" spans="2:3" x14ac:dyDescent="0.25">
      <c r="B31" s="11"/>
      <c r="C31" s="35"/>
    </row>
    <row r="32" spans="2:3" x14ac:dyDescent="0.25">
      <c r="B32" s="11"/>
      <c r="C32" s="35"/>
    </row>
    <row r="33" spans="2:3" x14ac:dyDescent="0.25">
      <c r="B33" s="11"/>
      <c r="C33" s="35"/>
    </row>
    <row r="34" spans="2:3" x14ac:dyDescent="0.25">
      <c r="B34" s="11"/>
      <c r="C34" s="35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x14ac:dyDescent="0.25">
      <c r="B45"/>
    </row>
    <row r="46" spans="2:3" x14ac:dyDescent="0.25">
      <c r="B46"/>
    </row>
    <row r="47" spans="2:3" x14ac:dyDescent="0.25">
      <c r="B47"/>
    </row>
    <row r="48" spans="2:3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</sheetData>
  <customSheetViews>
    <customSheetView guid="{00619EF7-C515-429F-AB3D-5DC348832EDA}" scale="80" topLeftCell="A12">
      <selection activeCell="H45" sqref="H45"/>
      <pageMargins left="0.7" right="0.7" top="0.75" bottom="0.75" header="0.3" footer="0.3"/>
    </customSheetView>
    <customSheetView guid="{64FD67D6-D868-479E-90CE-70272FB960D9}" scale="80" topLeftCell="A12">
      <selection activeCell="H45" sqref="H45"/>
      <pageMargins left="0.7" right="0.7" top="0.75" bottom="0.75" header="0.3" footer="0.3"/>
    </customSheetView>
    <customSheetView guid="{026E5010-F5BA-4F98-B34C-EB528F227AC7}" scale="80" topLeftCell="A12">
      <selection activeCell="H45" sqref="H45"/>
      <pageMargins left="0.7" right="0.7" top="0.75" bottom="0.75" header="0.3" footer="0.3"/>
    </customSheetView>
    <customSheetView guid="{7A9CC306-38C7-48CD-8B78-93CD2EC556BF}" scale="80" topLeftCell="A12">
      <selection activeCell="H45" sqref="H45"/>
      <pageMargins left="0.7" right="0.7" top="0.75" bottom="0.75" header="0.3" footer="0.3"/>
    </customSheetView>
    <customSheetView guid="{AB8B12FE-939F-4B6A-AE4A-A20F448211BF}" scale="80" topLeftCell="A12">
      <selection activeCell="H45" sqref="H45"/>
      <pageMargins left="0.7" right="0.7" top="0.75" bottom="0.75" header="0.3" footer="0.3"/>
    </customSheetView>
    <customSheetView guid="{4DF3C604-4BB6-48E8-9666-B0473E169111}" scale="80" topLeftCell="A12">
      <selection activeCell="H45" sqref="H45"/>
      <pageMargins left="0.7" right="0.7" top="0.75" bottom="0.75" header="0.3" footer="0.3"/>
    </customSheetView>
    <customSheetView guid="{8083EE3B-9D7C-4D56-B77A-A960804520EE}" topLeftCell="A8">
      <selection activeCell="E50" sqref="E50"/>
      <pageMargins left="0.7" right="0.7" top="0.75" bottom="0.75" header="0.3" footer="0.3"/>
    </customSheetView>
    <customSheetView guid="{8AA99AFC-1349-4A3C-8081-CB4E69606337}" topLeftCell="A8">
      <selection activeCell="E50" sqref="E50"/>
      <pageMargins left="0.7" right="0.7" top="0.75" bottom="0.75" header="0.3" footer="0.3"/>
    </customSheetView>
    <customSheetView guid="{74A84572-5AA8-456C-AFB1-EC122EE6654F}" topLeftCell="A8">
      <selection activeCell="E50" sqref="E50"/>
      <pageMargins left="0.7" right="0.7" top="0.75" bottom="0.75" header="0.3" footer="0.3"/>
    </customSheetView>
    <customSheetView guid="{E6241EC7-9283-496B-A8EF-76698C197BC4}" topLeftCell="A8">
      <selection activeCell="E50" sqref="E50"/>
      <pageMargins left="0.7" right="0.7" top="0.75" bottom="0.75" header="0.3" footer="0.3"/>
    </customSheetView>
    <customSheetView guid="{5BAC5B51-8110-4865-BACE-7450C4EB6816}" scale="85" topLeftCell="A19">
      <selection activeCell="B54" sqref="B54"/>
      <pageMargins left="0.7" right="0.7" top="0.75" bottom="0.75" header="0.3" footer="0.3"/>
    </customSheetView>
    <customSheetView guid="{33CCA4DB-7E6D-40A2-9FB7-F754C24501AF}" scale="85" topLeftCell="A19">
      <selection activeCell="B54" sqref="B54"/>
      <pageMargins left="0.7" right="0.7" top="0.75" bottom="0.75" header="0.3" footer="0.3"/>
    </customSheetView>
    <customSheetView guid="{168C3DC8-33EA-4ABF-BF57-E0694FDBF89D}" scale="85" topLeftCell="A24">
      <selection activeCell="B54" sqref="B54"/>
      <pageMargins left="0.7" right="0.7" top="0.75" bottom="0.75" header="0.3" footer="0.3"/>
    </customSheetView>
    <customSheetView guid="{4DB73DCD-46D8-4B02-9B2D-2F6EFB90B188}" scale="85" topLeftCell="A24">
      <selection activeCell="B54" sqref="B54"/>
      <pageMargins left="0.7" right="0.7" top="0.75" bottom="0.75" header="0.3" footer="0.3"/>
    </customSheetView>
    <customSheetView guid="{5A29B769-F6C0-4A5A-BE26-EA346E1F7A1A}" scale="85" topLeftCell="A24">
      <selection activeCell="B54" sqref="B54"/>
      <pageMargins left="0.7" right="0.7" top="0.75" bottom="0.75" header="0.3" footer="0.3"/>
    </customSheetView>
    <customSheetView guid="{3700F944-6C76-45D8-B8B7-C6BD0C9FF627}" scale="85" topLeftCell="A19">
      <selection activeCell="B54" sqref="B54"/>
      <pageMargins left="0.7" right="0.7" top="0.75" bottom="0.75" header="0.3" footer="0.3"/>
    </customSheetView>
    <customSheetView guid="{AC8F372D-ADA3-4FFA-BD46-B21B64A85128}" scale="85" topLeftCell="A5">
      <selection activeCell="B54" sqref="B54"/>
      <pageMargins left="0.7" right="0.7" top="0.75" bottom="0.75" header="0.3" footer="0.3"/>
    </customSheetView>
    <customSheetView guid="{ABC5E241-99E1-480D-8F7F-79A320B7EE5F}" scale="85" topLeftCell="A5">
      <selection activeCell="B54" sqref="B54"/>
      <pageMargins left="0.7" right="0.7" top="0.75" bottom="0.75" header="0.3" footer="0.3"/>
    </customSheetView>
    <customSheetView guid="{03C3983D-0727-4E6A-BC5D-01E139585FE6}" scale="85" topLeftCell="A5">
      <selection activeCell="B54" sqref="B54"/>
      <pageMargins left="0.7" right="0.7" top="0.75" bottom="0.75" header="0.3" footer="0.3"/>
    </customSheetView>
    <customSheetView guid="{E055FEAB-A6BC-4F63-8CB2-3FBA272441AC}" topLeftCell="A32">
      <selection activeCell="B57" sqref="B57"/>
      <pageMargins left="0.7" right="0.7" top="0.75" bottom="0.75" header="0.3" footer="0.3"/>
    </customSheetView>
    <customSheetView guid="{D99B2D7E-6003-4F9B-A49C-10B86F0B11D7}" topLeftCell="A32">
      <selection activeCell="B57" sqref="B57"/>
      <pageMargins left="0.7" right="0.7" top="0.75" bottom="0.75" header="0.3" footer="0.3"/>
    </customSheetView>
    <customSheetView guid="{923D7FF5-5E4F-4C91-97D7-62A4CD48413C}" topLeftCell="A32">
      <selection activeCell="B57" sqref="B57"/>
      <pageMargins left="0.7" right="0.7" top="0.75" bottom="0.75" header="0.3" footer="0.3"/>
    </customSheetView>
    <customSheetView guid="{D8461660-A8A1-4029-B386-AF511DF54195}" topLeftCell="A50">
      <selection activeCell="I52" sqref="I52"/>
      <pageMargins left="0.7" right="0.7" top="0.75" bottom="0.75" header="0.3" footer="0.3"/>
    </customSheetView>
    <customSheetView guid="{0CC99FEF-F286-4F44-806A-510E25937FC7}" topLeftCell="A50">
      <selection activeCell="I52" sqref="I52"/>
      <pageMargins left="0.7" right="0.7" top="0.75" bottom="0.75" header="0.3" footer="0.3"/>
    </customSheetView>
    <customSheetView guid="{FDAC35F8-EF57-429C-9E04-D227826D1E27}" scale="80" topLeftCell="A12">
      <selection activeCell="H45" sqref="H45"/>
      <pageMargins left="0.7" right="0.7" top="0.75" bottom="0.75" header="0.3" footer="0.3"/>
    </customSheetView>
    <customSheetView guid="{9B45B383-4A11-4C7D-915F-F34A3F26EDA9}" scale="80" topLeftCell="A12">
      <selection activeCell="H45" sqref="H45"/>
      <pageMargins left="0.7" right="0.7" top="0.75" bottom="0.75" header="0.3" footer="0.3"/>
    </customSheetView>
    <customSheetView guid="{42312AD8-D830-4E9B-A2C0-10B802282691}" scale="80" topLeftCell="A12">
      <selection activeCell="H45" sqref="H45"/>
      <pageMargins left="0.7" right="0.7" top="0.75" bottom="0.75" header="0.3" footer="0.3"/>
    </customSheetView>
  </customSheetView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Prelim &amp; Logic</vt:lpstr>
      <vt:lpstr>Repair Analysis Report</vt:lpstr>
      <vt:lpstr>Defects Classification Analysis</vt:lpstr>
      <vt:lpstr>Packer Usage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nickbryan@cementaid.com.sg</dc:creator>
  <cp:keywords/>
  <dc:description/>
  <cp:lastModifiedBy>hao chen</cp:lastModifiedBy>
  <cp:revision/>
  <cp:lastPrinted>2026-01-05T06:37:47Z</cp:lastPrinted>
  <dcterms:created xsi:type="dcterms:W3CDTF">2018-02-02T08:10:38Z</dcterms:created>
  <dcterms:modified xsi:type="dcterms:W3CDTF">2026-09-02T03:16:04Z</dcterms:modified>
  <cp:category/>
  <cp:contentStatus/>
</cp:coreProperties>
</file>